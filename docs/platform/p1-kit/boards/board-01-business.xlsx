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記録" sheetId="2" state="visible" r:id="rId4"/>
    <sheet name="ボード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<sst xmlns="http://schemas.openxmlformats.org/spreadsheetml/2006/main" count="29" uniqueCount="29">
  <si>
    <r>
      <rPr>
        <b val="true"/>
        <sz val="14"/>
        <rFont val="Noto Sans CJK SC"/>
        <family val="2"/>
      </rPr>
      <t xml:space="preserve">① 現在地ボード：</t>
    </r>
    <r>
      <rPr>
        <b val="true"/>
        <sz val="14"/>
        <rFont val="Arial"/>
        <family val="0"/>
        <charset val="1"/>
      </rPr>
      <t xml:space="preserve">AI</t>
    </r>
    <r>
      <rPr>
        <b val="true"/>
        <sz val="14"/>
        <rFont val="Noto Sans CJK SC"/>
        <family val="2"/>
      </rPr>
      <t xml:space="preserve">業務改善</t>
    </r>
  </si>
  <si>
    <r>
      <rPr>
        <sz val="11"/>
        <color theme="1"/>
        <rFont val="Noto Sans CJK SC"/>
        <family val="2"/>
      </rPr>
      <t xml:space="preserve">毎月</t>
    </r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 CJK SC"/>
        <family val="2"/>
      </rPr>
      <t xml:space="preserve">回、「記録」シートの黄色の欄に先月の事務作業時間と</t>
    </r>
    <r>
      <rPr>
        <sz val="11"/>
        <color theme="1"/>
        <rFont val="Arial"/>
        <family val="0"/>
        <charset val="1"/>
      </rPr>
      <t xml:space="preserve">AI</t>
    </r>
    <r>
      <rPr>
        <sz val="11"/>
        <color theme="1"/>
        <rFont val="Noto Sans CJK SC"/>
        <family val="2"/>
      </rPr>
      <t xml:space="preserve">化した業務の数を入れてください。</t>
    </r>
  </si>
  <si>
    <t xml:space="preserve">「ボード」シートで、目標と現在地がグラフで分かります。</t>
  </si>
  <si>
    <t xml:space="preserve">月次更新プランでは、この数字をもとに運営者が計画を更新します。</t>
  </si>
  <si>
    <t xml:space="preserve">凡例</t>
  </si>
  <si>
    <t xml:space="preserve">黄色のセル＝あなたが入力する欄（青字）</t>
  </si>
  <si>
    <t xml:space="preserve">白いセル＝自動計算（触らない）</t>
  </si>
  <si>
    <r>
      <rPr>
        <sz val="11"/>
        <color theme="1"/>
        <rFont val="Arial"/>
        <family val="0"/>
        <charset val="1"/>
      </rPr>
      <t xml:space="preserve">1</t>
    </r>
    <r>
      <rPr>
        <sz val="11"/>
        <color theme="1"/>
        <rFont val="Noto Sans CJK SC"/>
        <family val="2"/>
      </rPr>
      <t xml:space="preserve">行目の数字は記入例（架空）です。上書きしてお使いください。</t>
    </r>
  </si>
  <si>
    <r>
      <rPr>
        <sz val="11"/>
        <color theme="1"/>
        <rFont val="Noto Sans CJK SC"/>
        <family val="2"/>
      </rPr>
      <t xml:space="preserve">このシートは目安を可視化するもので、結果を保証するものではありません。氏名・口座番号・</t>
    </r>
    <r>
      <rPr>
        <sz val="11"/>
        <color theme="1"/>
        <rFont val="Arial"/>
        <family val="0"/>
        <charset val="1"/>
      </rPr>
      <t xml:space="preserve">ID</t>
    </r>
    <r>
      <rPr>
        <sz val="11"/>
        <color theme="1"/>
        <rFont val="Noto Sans CJK SC"/>
        <family val="2"/>
      </rPr>
      <t xml:space="preserve">・パスワードなどは書かないでください。</t>
    </r>
  </si>
  <si>
    <t xml:space="preserve">月</t>
  </si>
  <si>
    <r>
      <rPr>
        <b val="true"/>
        <sz val="11"/>
        <rFont val="Noto Sans CJK SC"/>
        <family val="2"/>
      </rPr>
      <t xml:space="preserve">目標の事務作業時間（時間</t>
    </r>
    <r>
      <rPr>
        <b val="true"/>
        <sz val="11"/>
        <rFont val="Arial"/>
        <family val="0"/>
        <charset val="1"/>
      </rPr>
      <t xml:space="preserve">/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</si>
  <si>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Noto Sans CJK SC"/>
        <family val="2"/>
      </rPr>
      <t xml:space="preserve">実績の事務作業時間（時間</t>
    </r>
    <r>
      <rPr>
        <b val="true"/>
        <sz val="11"/>
        <rFont val="Arial"/>
        <family val="0"/>
        <charset val="1"/>
      </rPr>
      <t xml:space="preserve">/</t>
    </r>
    <r>
      <rPr>
        <b val="true"/>
        <sz val="11"/>
        <rFont val="Noto Sans CJK SC"/>
        <family val="2"/>
      </rPr>
      <t xml:space="preserve">月）</t>
    </r>
  </si>
  <si>
    <t xml:space="preserve">差（実績−目標）</t>
  </si>
  <si>
    <r>
      <rPr>
        <b val="true"/>
        <sz val="11"/>
        <rFont val="Arial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化した業務の数（累計）</t>
    </r>
  </si>
  <si>
    <t xml:space="preserve">メモ（個人情報は書かない）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</si>
  <si>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Noto Sans CJK SC"/>
        <family val="2"/>
      </rPr>
      <t xml:space="preserve">か月目</t>
    </r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</si>
  <si>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Noto Sans CJK SC"/>
        <family val="2"/>
      </rPr>
      <t xml:space="preserve">か月目</t>
    </r>
  </si>
  <si>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Noto Sans CJK SC"/>
        <family val="2"/>
      </rPr>
      <t xml:space="preserve">か月目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</si>
  <si>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Noto Sans CJK SC"/>
        <family val="2"/>
      </rPr>
      <t xml:space="preserve">か月目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</si>
  <si>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Noto Sans CJK SC"/>
        <family val="2"/>
      </rPr>
      <t xml:space="preserve">か月目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</si>
  <si>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Noto Sans CJK SC"/>
        <family val="2"/>
      </rPr>
      <t xml:space="preserve">か月目</t>
    </r>
  </si>
  <si>
    <r>
      <rPr>
        <sz val="11"/>
        <color theme="1"/>
        <rFont val="Arial"/>
        <family val="0"/>
        <charset val="1"/>
      </rPr>
      <t xml:space="preserve">※ 2</t>
    </r>
    <r>
      <rPr>
        <sz val="11"/>
        <color theme="1"/>
        <rFont val="Noto Sans CJK SC"/>
        <family val="2"/>
      </rPr>
      <t xml:space="preserve">か月目以降の数値も架空の記入例です。目標は初回の計画書から転記します。</t>
    </r>
  </si>
  <si>
    <r>
      <rPr>
        <b val="true"/>
        <sz val="14"/>
        <rFont val="Noto Sans CJK SC"/>
        <family val="2"/>
      </rPr>
      <t xml:space="preserve">現在地ボード：</t>
    </r>
    <r>
      <rPr>
        <b val="true"/>
        <sz val="14"/>
        <rFont val="Arial"/>
        <family val="0"/>
        <charset val="1"/>
      </rPr>
      <t xml:space="preserve">AI</t>
    </r>
    <r>
      <rPr>
        <b val="true"/>
        <sz val="14"/>
        <rFont val="Noto Sans CJK SC"/>
        <family val="2"/>
      </rPr>
      <t xml:space="preserve">業務改善</t>
    </r>
  </si>
  <si>
    <r>
      <rPr>
        <sz val="11"/>
        <color theme="1"/>
        <rFont val="Noto Sans CJK SC"/>
        <family val="2"/>
      </rPr>
      <t xml:space="preserve">最初の事務作業時間（時間</t>
    </r>
    <r>
      <rPr>
        <sz val="11"/>
        <color theme="1"/>
        <rFont val="Arial"/>
        <family val="0"/>
        <charset val="1"/>
      </rPr>
      <t xml:space="preserve">/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</si>
  <si>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最新の実績（時間</t>
    </r>
    <r>
      <rPr>
        <sz val="11"/>
        <color theme="1"/>
        <rFont val="Arial"/>
        <family val="0"/>
        <charset val="1"/>
      </rPr>
      <t xml:space="preserve">/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</si>
  <si>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最終目標（時間</t>
    </r>
    <r>
      <rPr>
        <sz val="11"/>
        <color theme="1"/>
        <rFont val="Arial"/>
        <family val="0"/>
        <charset val="1"/>
      </rPr>
      <t xml:space="preserve">/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</si>
  <si>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削減できた時間（時間</t>
    </r>
    <r>
      <rPr>
        <sz val="11"/>
        <color theme="1"/>
        <rFont val="Arial"/>
        <family val="0"/>
        <charset val="1"/>
      </rPr>
      <t xml:space="preserve">/</t>
    </r>
    <r>
      <rPr>
        <sz val="11"/>
        <color theme="1"/>
        <rFont val="Noto Sans CJK SC"/>
        <family val="2"/>
      </rPr>
      <t xml:space="preserve">月）</t>
    </r>
  </si>
  <si>
    <t xml:space="preserve">目標までの達成率</t>
  </si>
  <si>
    <r>
      <rPr>
        <sz val="11"/>
        <color theme="1"/>
        <rFont val="Arial"/>
        <family val="0"/>
        <charset val="1"/>
      </rPr>
      <t xml:space="preserve">AI</t>
    </r>
    <r>
      <rPr>
        <sz val="11"/>
        <color theme="1"/>
        <rFont val="Noto Sans CJK SC"/>
        <family val="2"/>
      </rPr>
      <t xml:space="preserve">化した業務の数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</si>
</sst>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;\-0.0;0"/>
    <numFmt numFmtId="166" formatCode="0.0"/>
    <numFmt numFmtId="167" formatCode="0%"/>
    <numFmt numFmtId="168" formatCode="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b val="true"/>
      <sz val="14"/>
      <name val="Arial"/>
      <family val="0"/>
      <charset val="1"/>
    </font>
    <font>
      <sz val="11"/>
      <color theme="1"/>
      <name val="Noto Sans CJK SC"/>
      <family val="2"/>
    </font>
    <font>
      <sz val="11"/>
      <color theme="1"/>
      <name val="Arial"/>
      <family val="0"/>
      <charset val="1"/>
    </font>
    <font>
      <b val="true"/>
      <sz val="11"/>
      <name val="Noto Sans CJK SC"/>
      <family val="2"/>
    </font>
    <font>
      <sz val="11"/>
      <color rgb="FF0000FF"/>
      <name val="Noto Sans CJK SC"/>
      <family val="2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8"/>
      <color rgb="FF000000"/>
      <name val="Noto Sans CJK SC"/>
      <family val="2"/>
    </font>
    <font>
      <sz val="10"/>
      <color rgb="FF000000"/>
      <name val="Calibri"/>
      <family val="2"/>
    </font>
    <font>
      <b val="true"/>
      <sz val="10"/>
      <color rgb="FF000000"/>
      <name val="Noto Sans CJK SC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DE6F5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BE4B48"/>
      <rgbColor rgb="FFFFF2CC"/>
      <rgbColor rgb="FFDDE6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事務作業時間：目標と実績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記録!B1</c:f>
              <c:strCache>
                <c:ptCount val="1"/>
                <c:pt idx="0">
                  <c:v>目標の事務作業時間（時間/月）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記録!$A$2:$A$7</c:f>
              <c:strCache>
                <c:ptCount val="6"/>
                <c:pt idx="0">
                  <c:v>1か月目</c:v>
                </c:pt>
                <c:pt idx="1">
                  <c:v>2か月目</c:v>
                </c:pt>
                <c:pt idx="2">
                  <c:v>3か月目</c:v>
                </c:pt>
                <c:pt idx="3">
                  <c:v>4か月目</c:v>
                </c:pt>
                <c:pt idx="4">
                  <c:v>5か月目</c:v>
                </c:pt>
                <c:pt idx="5">
                  <c:v>6か月目</c:v>
                </c:pt>
              </c:strCache>
            </c:strRef>
          </c:cat>
          <c:val>
            <c:numRef>
              <c:f>記録!$B$2:$B$7</c:f>
              <c:numCache>
                <c:formatCode>General</c:formatCode>
                <c:ptCount val="6"/>
                <c:pt idx="0">
                  <c:v>22</c:v>
                </c:pt>
                <c:pt idx="1">
                  <c:v>19</c:v>
                </c:pt>
                <c:pt idx="2">
                  <c:v>15</c:v>
                </c:pt>
                <c:pt idx="3">
                  <c:v>12</c:v>
                </c:pt>
                <c:pt idx="4">
                  <c:v>10</c:v>
                </c:pt>
                <c:pt idx="5">
                  <c:v>10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記録!C1</c:f>
              <c:strCache>
                <c:ptCount val="1"/>
                <c:pt idx="0">
                  <c:v>実績の事務作業時間（時間/月）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記録!$A$2:$A$7</c:f>
              <c:strCache>
                <c:ptCount val="6"/>
                <c:pt idx="0">
                  <c:v>1か月目</c:v>
                </c:pt>
                <c:pt idx="1">
                  <c:v>2か月目</c:v>
                </c:pt>
                <c:pt idx="2">
                  <c:v>3か月目</c:v>
                </c:pt>
                <c:pt idx="3">
                  <c:v>4か月目</c:v>
                </c:pt>
                <c:pt idx="4">
                  <c:v>5か月目</c:v>
                </c:pt>
                <c:pt idx="5">
                  <c:v>6か月目</c:v>
                </c:pt>
              </c:strCache>
            </c:strRef>
          </c:cat>
          <c:val>
            <c:numRef>
              <c:f>記録!$C$2:$C$7</c:f>
              <c:numCache>
                <c:formatCode>General</c:formatCode>
                <c:ptCount val="6"/>
                <c:pt idx="0">
                  <c:v>22</c:v>
                </c:pt>
                <c:pt idx="1">
                  <c:v>20</c:v>
                </c:pt>
                <c:pt idx="2">
                  <c:v>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8685184"/>
        <c:axId val="14554288"/>
      </c:lineChart>
      <c:catAx>
        <c:axId val="48685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554288"/>
        <c:crosses val="autoZero"/>
        <c:auto val="1"/>
        <c:lblAlgn val="ctr"/>
        <c:lblOffset val="100"/>
        <c:noMultiLvlLbl val="0"/>
      </c:catAx>
      <c:valAx>
        <c:axId val="145542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時間/月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68518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1</xdr:row>
      <xdr:rowOff>106560</xdr:rowOff>
    </xdr:from>
    <xdr:to>
      <xdr:col>13</xdr:col>
      <xdr:colOff>364680</xdr:colOff>
      <xdr:row>15</xdr:row>
      <xdr:rowOff>182520</xdr:rowOff>
    </xdr:to>
    <xdr:graphicFrame>
      <xdr:nvGraphicFramePr>
        <xdr:cNvPr id="0" name="Chart 1"/>
        <xdr:cNvGraphicFramePr/>
      </xdr:nvGraphicFramePr>
      <xdr:xfrm>
        <a:off x="3853800" y="3808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21.6" hidden="false" customHeight="false" outlineLevel="0" collapsed="false">
      <c r="A1" s="1" t="s">
        <v>0</v>
      </c>
    </row>
    <row r="3" customFormat="false" ht="17.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5" t="s">
        <v>7</v>
      </c>
    </row>
    <row r="12" customFormat="false" ht="17.15" hidden="false" customHeight="false" outlineLevel="0" collapsed="false">
      <c r="A12" s="2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40"/>
  </cols>
  <sheetData>
    <row r="1" customFormat="false" ht="32.8" hidden="false" customHeight="false" outlineLevel="0" collapsed="false">
      <c r="A1" s="6" t="s">
        <v>9</v>
      </c>
      <c r="B1" s="6" t="s">
        <v>10</v>
      </c>
      <c r="C1" s="6" t="s">
        <v>11</v>
      </c>
      <c r="D1" s="6" t="s">
        <v>12</v>
      </c>
      <c r="E1" s="7" t="s">
        <v>13</v>
      </c>
      <c r="F1" s="6" t="s">
        <v>14</v>
      </c>
    </row>
    <row r="2" customFormat="false" ht="17.15" hidden="false" customHeight="false" outlineLevel="0" collapsed="false">
      <c r="A2" s="8" t="s">
        <v>15</v>
      </c>
      <c r="B2" s="8" t="n">
        <v>22</v>
      </c>
      <c r="C2" s="8" t="n">
        <v>22</v>
      </c>
      <c r="D2" s="9" t="n">
        <f aca="false">IF(C2="","",C2-B2)</f>
        <v>0</v>
      </c>
      <c r="E2" s="8" t="n">
        <v>0</v>
      </c>
      <c r="F2" s="8"/>
    </row>
    <row r="3" customFormat="false" ht="17.15" hidden="false" customHeight="false" outlineLevel="0" collapsed="false">
      <c r="A3" s="8" t="s">
        <v>16</v>
      </c>
      <c r="B3" s="8" t="n">
        <v>19</v>
      </c>
      <c r="C3" s="8" t="n">
        <v>20</v>
      </c>
      <c r="D3" s="9" t="n">
        <f aca="false">IF(C3="","",C3-B3)</f>
        <v>1</v>
      </c>
      <c r="E3" s="8" t="n">
        <v>1</v>
      </c>
      <c r="F3" s="8"/>
    </row>
    <row r="4" customFormat="false" ht="17.15" hidden="false" customHeight="false" outlineLevel="0" collapsed="false">
      <c r="A4" s="8" t="s">
        <v>17</v>
      </c>
      <c r="B4" s="8" t="n">
        <v>15</v>
      </c>
      <c r="C4" s="8" t="n">
        <v>16</v>
      </c>
      <c r="D4" s="9" t="n">
        <f aca="false">IF(C4="","",C4-B4)</f>
        <v>1</v>
      </c>
      <c r="E4" s="8" t="n">
        <v>2</v>
      </c>
      <c r="F4" s="8"/>
    </row>
    <row r="5" customFormat="false" ht="17.15" hidden="false" customHeight="false" outlineLevel="0" collapsed="false">
      <c r="A5" s="8" t="s">
        <v>18</v>
      </c>
      <c r="B5" s="8" t="n">
        <v>12</v>
      </c>
      <c r="C5" s="8"/>
      <c r="D5" s="9" t="str">
        <f aca="false">IF(C5="","",C5-B5)</f>
        <v/>
      </c>
      <c r="E5" s="8"/>
      <c r="F5" s="8"/>
    </row>
    <row r="6" customFormat="false" ht="17.15" hidden="false" customHeight="false" outlineLevel="0" collapsed="false">
      <c r="A6" s="8" t="s">
        <v>19</v>
      </c>
      <c r="B6" s="8" t="n">
        <v>10</v>
      </c>
      <c r="C6" s="8"/>
      <c r="D6" s="9" t="str">
        <f aca="false">IF(C6="","",C6-B6)</f>
        <v/>
      </c>
      <c r="E6" s="8"/>
      <c r="F6" s="8"/>
    </row>
    <row r="7" customFormat="false" ht="17.15" hidden="false" customHeight="false" outlineLevel="0" collapsed="false">
      <c r="A7" s="8" t="s">
        <v>20</v>
      </c>
      <c r="B7" s="8" t="n">
        <v>10</v>
      </c>
      <c r="C7" s="8"/>
      <c r="D7" s="9" t="str">
        <f aca="false">IF(C7="","",C7-B7)</f>
        <v/>
      </c>
      <c r="E7" s="8"/>
      <c r="F7" s="8"/>
    </row>
    <row r="9" customFormat="false" ht="17.15" hidden="false" customHeight="false" outlineLevel="0" collapsed="false">
      <c r="A9" s="5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</cols>
  <sheetData>
    <row r="1" customFormat="false" ht="21.6" hidden="false" customHeight="false" outlineLevel="0" collapsed="false">
      <c r="A1" s="1" t="s">
        <v>22</v>
      </c>
    </row>
    <row r="3" customFormat="false" ht="17.15" hidden="false" customHeight="false" outlineLevel="0" collapsed="false">
      <c r="A3" s="10" t="s">
        <v>23</v>
      </c>
      <c r="B3" s="11" t="n">
        <f aca="false">記録!C2</f>
        <v>22</v>
      </c>
    </row>
    <row r="4" customFormat="false" ht="17.15" hidden="false" customHeight="false" outlineLevel="0" collapsed="false">
      <c r="A4" s="10" t="s">
        <v>24</v>
      </c>
      <c r="B4" s="11" t="n">
        <f aca="false">IFERROR(LOOKUP(2,1/(記録!C2:C7&lt;&gt;""),記録!C2:C7),"")</f>
        <v>16</v>
      </c>
    </row>
    <row r="5" customFormat="false" ht="17.15" hidden="false" customHeight="false" outlineLevel="0" collapsed="false">
      <c r="A5" s="10" t="s">
        <v>25</v>
      </c>
      <c r="B5" s="11" t="n">
        <f aca="false">記録!B7</f>
        <v>10</v>
      </c>
    </row>
    <row r="6" customFormat="false" ht="17.15" hidden="false" customHeight="false" outlineLevel="0" collapsed="false">
      <c r="A6" s="10" t="s">
        <v>26</v>
      </c>
      <c r="B6" s="11" t="n">
        <f aca="false">IFERROR(B3-B4,"")</f>
        <v>6</v>
      </c>
    </row>
    <row r="7" customFormat="false" ht="15" hidden="false" customHeight="false" outlineLevel="0" collapsed="false">
      <c r="A7" s="10" t="s">
        <v>27</v>
      </c>
      <c r="B7" s="12" t="n">
        <f aca="false">IFERROR((B3-B4)/(B3-B5),"")</f>
        <v>0.5</v>
      </c>
    </row>
    <row r="8" customFormat="false" ht="17.15" hidden="false" customHeight="false" outlineLevel="0" collapsed="false">
      <c r="A8" s="13" t="s">
        <v>28</v>
      </c>
      <c r="B8" s="14" t="n">
        <f aca="false">IFERROR(LOOKUP(2,1/(記録!E2:E7&lt;&gt;""),記録!E2:E7),"")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2026-10-30T02:58:02Z</dcterms:created>
  <dc:creator>openpyxl</dc:creator>
  <dc:description/>
  <dc:language>en-US</dc:language>
  <cp:lastModifiedBy/>
  <dcterms:modified xsi:type="dcterms:W3CDTF">2026-10-30T11:58:04Z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
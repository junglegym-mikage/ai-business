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" sheetId="2" state="visible" r:id="rId4"/>
    <sheet name="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<sst xmlns="http://schemas.openxmlformats.org/spreadsheetml/2006/main" count="38" uniqueCount="38">
  <si>
    <r>
      <rPr>
        <b val="true"/>
        <sz val="14"/>
        <rFont val="Noto Sans CJK SC"/>
        <family val="2"/>
      </rPr>
      <t xml:space="preserve">① 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</si>
  <si>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回、「記録」シートの「実績」に、先月の事務作業の合計時間（時間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月）を入れてください。</t>
    </r>
  </si>
  <si>
    <t xml:space="preserve">入れると「ボード」シートで、現在地・目標までの進み具合・必要なペース・期限内に届く見込みが自動で計算され、残りの月の予定も作り直されます。</t>
  </si>
  <si>
    <t xml:space="preserve">「前提」シートの値は初回の計画書から転記します（月次更新プランでは運営者が見直します）。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</si>
  <si>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</si>
  <si>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</si>
  <si>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</si>
  <si>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</si>
  <si>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</si>
  <si>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</si>
  <si>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</si>
  <si>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r>
      <rPr>
        <sz val="11"/>
        <rFont val="Noto Sans CJK SC"/>
        <family val="2"/>
      </rPr>
      <t xml:space="preserve">事務作業時間：最初の値（時間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</si>
  <si>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事務作業時間：目標の値（時間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</si>
  <si>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期限までの月数</t>
  </si>
  <si>
    <t xml:space="preserve">月</t>
  </si>
  <si>
    <r>
      <rPr>
        <b val="true"/>
        <sz val="11"/>
        <rFont val="Noto Sans CJK SC"/>
        <family val="2"/>
      </rPr>
      <t xml:space="preserve">当初の計画（時間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</si>
  <si>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実績（時間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月）※入力</t>
    </r>
  </si>
  <si>
    <r>
      <rPr>
        <b val="true"/>
        <sz val="11"/>
        <rFont val="Noto Sans CJK SC"/>
        <family val="2"/>
      </rPr>
      <t xml:space="preserve">更新後の予定（時間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</si>
  <si>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今のペースが続いた場合（時間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</si>
  <si>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t xml:space="preserve">※ 入力するのは「実績」の列だけです。月ごとに上から順に入れてください。</t>
  </si>
  <si>
    <r>
      <rPr>
        <b val="true"/>
        <sz val="14"/>
        <rFont val="Noto Sans CJK SC"/>
        <family val="2"/>
      </rPr>
      <t xml:space="preserve">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</si>
  <si>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t xml:space="preserve">現在地</t>
  </si>
  <si>
    <t xml:space="preserve">最後に実績を入れた月</t>
  </si>
  <si>
    <r>
      <rPr>
        <sz val="11"/>
        <rFont val="Noto Sans CJK SC"/>
        <family val="2"/>
      </rPr>
      <t xml:space="preserve">現在の事務作業時間（時間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</si>
  <si>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目標（時間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</si>
  <si>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</si>
  <si>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</si>
  <si>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</si>
  <si>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</si>
  <si>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</si>
  <si>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今のペースで目標に届く見込み（過去の数値を直線で延ばした参考計算）</t>
  </si>
  <si>
    <t xml:space="preserve">入力のチェック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</si>
  <si>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</si>
  <si>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</si>
  <si>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r>
      <rPr>
        <b val="true"/>
        <sz val="11"/>
        <rFont val="Arial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化した業務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</si>
  <si>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化する予定の業務の数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</si>
  <si>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化が終わった業務の数（入力）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</si>
  <si>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化の進み具合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</si>
</sst>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記録!B1</c:f>
              <c:strCache>
                <c:ptCount val="1"/>
                <c:pt idx="0">
                  <c:v>当初の計画（時間/月）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記録!C1</c:f>
              <c:strCache>
                <c:ptCount val="1"/>
                <c:pt idx="0">
                  <c:v>実績（時間/月）※入力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記録!$C$2:$C$7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記録!D1</c:f>
              <c:strCache>
                <c:ptCount val="1"/>
                <c:pt idx="0">
                  <c:v>更新後の予定（時間/月）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16875"/>
        <c:axId val="53125286"/>
      </c:lineChart>
      <c:catAx>
        <c:axId val="701687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25286"/>
        <c:crosses val="autoZero"/>
        <c:auto val="1"/>
        <c:lblAlgn val="ctr"/>
        <c:lblOffset val="100"/>
        <c:noMultiLvlLbl val="0"/>
      </c:catAx>
      <c:valAx>
        <c:axId val="53125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68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106560</xdr:rowOff>
    </xdr:from>
    <xdr:to>
      <xdr:col>16</xdr:col>
      <xdr:colOff>473040</xdr:colOff>
      <xdr:row>14</xdr:row>
      <xdr:rowOff>360</xdr:rowOff>
    </xdr:to>
    <xdr:graphicFrame>
      <xdr:nvGraphicFramePr>
        <xdr:cNvPr id="0" name="Chart 1"/>
        <xdr:cNvGraphicFramePr/>
      </xdr:nvGraphicFramePr>
      <xdr:xfrm>
        <a:off x="789624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1.6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10</v>
      </c>
    </row>
    <row r="2" customFormat="false" ht="17.15" hidden="false" customHeight="false" outlineLevel="0" collapsed="false">
      <c r="A2" s="6" t="s">
        <v>11</v>
      </c>
      <c r="B2" s="7" t="n">
        <v>22</v>
      </c>
    </row>
    <row r="3" customFormat="false" ht="17.15" hidden="false" customHeight="false" outlineLevel="0" collapsed="false">
      <c r="A3" s="6" t="s">
        <v>12</v>
      </c>
      <c r="B3" s="7" t="n">
        <v>10</v>
      </c>
    </row>
    <row r="4" customFormat="false" ht="17.15" hidden="false" customHeight="false" outlineLevel="0" collapsed="false">
      <c r="A4" s="6" t="s">
        <v>13</v>
      </c>
      <c r="B4" s="8" t="n">
        <v>6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9" t="s">
        <v>14</v>
      </c>
      <c r="B1" s="9" t="s">
        <v>15</v>
      </c>
      <c r="C1" s="9" t="s">
        <v>16</v>
      </c>
      <c r="D1" s="9" t="s">
        <v>17</v>
      </c>
      <c r="E1" s="9" t="s">
        <v>18</v>
      </c>
    </row>
    <row r="2" customFormat="false" ht="15" hidden="false" customHeight="false" outlineLevel="0" collapsed="false">
      <c r="A2" s="10" t="n">
        <v>1</v>
      </c>
      <c r="B2" s="11" t="n">
        <f aca="false">前提!$B$2+(前提!$B$3-前提!$B$2)*A2/前提!$B$4</f>
        <v>20</v>
      </c>
      <c r="C2" s="7" t="n">
        <v>22</v>
      </c>
      <c r="D2" s="11" t="str">
        <f aca="false">IFERROR(IF(OR(ボード!$B$4="",ボード!$B$10="",A2&lt;=ボード!$B$4),"",ボード!$B$5+ボード!$B$10*(A2-ボード!$B$4)),"")</f>
        <v/>
      </c>
      <c r="E2" s="11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0" t="n">
        <v>2</v>
      </c>
      <c r="B3" s="11" t="n">
        <f aca="false">前提!$B$2+(前提!$B$3-前提!$B$2)*A3/前提!$B$4</f>
        <v>18</v>
      </c>
      <c r="C3" s="7" t="n">
        <v>20</v>
      </c>
      <c r="D3" s="11" t="str">
        <f aca="false">IFERROR(IF(OR(ボード!$B$4="",ボード!$B$10="",A3&lt;=ボード!$B$4),"",ボード!$B$5+ボード!$B$10*(A3-ボード!$B$4)),"")</f>
        <v/>
      </c>
      <c r="E3" s="11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0" t="n">
        <v>3</v>
      </c>
      <c r="B4" s="11" t="n">
        <f aca="false">前提!$B$2+(前提!$B$3-前提!$B$2)*A4/前提!$B$4</f>
        <v>16</v>
      </c>
      <c r="C4" s="7" t="n">
        <v>16</v>
      </c>
      <c r="D4" s="11" t="str">
        <f aca="false">IFERROR(IF(OR(ボード!$B$4="",ボード!$B$10="",A4&lt;=ボード!$B$4),"",ボード!$B$5+ボード!$B$10*(A4-ボード!$B$4)),"")</f>
        <v/>
      </c>
      <c r="E4" s="11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0" t="n">
        <v>4</v>
      </c>
      <c r="B5" s="11" t="n">
        <f aca="false">前提!$B$2+(前提!$B$3-前提!$B$2)*A5/前提!$B$4</f>
        <v>14</v>
      </c>
      <c r="C5" s="7"/>
      <c r="D5" s="11" t="n">
        <f aca="false">IFERROR(IF(OR(ボード!$B$4="",ボード!$B$10="",A5&lt;=ボード!$B$4),"",ボード!$B$5+ボード!$B$10*(A5-ボード!$B$4)),"")</f>
        <v>14</v>
      </c>
      <c r="E5" s="11" t="n">
        <f aca="false">IFERROR(IF(OR(ボード!$B$4="",A5&lt;=ボード!$B$4,ボード!$B$11=""),"",ボード!$B$5+ボード!$B$11*(A5-ボード!$B$4)),"")</f>
        <v>14</v>
      </c>
    </row>
    <row r="6" customFormat="false" ht="15" hidden="false" customHeight="false" outlineLevel="0" collapsed="false">
      <c r="A6" s="10" t="n">
        <v>5</v>
      </c>
      <c r="B6" s="11" t="n">
        <f aca="false">前提!$B$2+(前提!$B$3-前提!$B$2)*A6/前提!$B$4</f>
        <v>12</v>
      </c>
      <c r="C6" s="7"/>
      <c r="D6" s="11" t="n">
        <f aca="false">IFERROR(IF(OR(ボード!$B$4="",ボード!$B$10="",A6&lt;=ボード!$B$4),"",ボード!$B$5+ボード!$B$10*(A6-ボード!$B$4)),"")</f>
        <v>12</v>
      </c>
      <c r="E6" s="11" t="n">
        <f aca="false">IFERROR(IF(OR(ボード!$B$4="",A6&lt;=ボード!$B$4,ボード!$B$11=""),"",ボード!$B$5+ボード!$B$11*(A6-ボード!$B$4)),"")</f>
        <v>12</v>
      </c>
    </row>
    <row r="7" customFormat="false" ht="15" hidden="false" customHeight="false" outlineLevel="0" collapsed="false">
      <c r="A7" s="10" t="n">
        <v>6</v>
      </c>
      <c r="B7" s="11" t="n">
        <f aca="false">前提!$B$2+(前提!$B$3-前提!$B$2)*A7/前提!$B$4</f>
        <v>10</v>
      </c>
      <c r="C7" s="7"/>
      <c r="D7" s="11" t="n">
        <f aca="false">IFERROR(IF(OR(ボード!$B$4="",ボード!$B$10="",A7&lt;=ボード!$B$4),"",ボード!$B$5+ボード!$B$10*(A7-ボード!$B$4)),"")</f>
        <v>10</v>
      </c>
      <c r="E7" s="11" t="n">
        <f aca="false">IFERROR(IF(OR(ボード!$B$4="",A7&lt;=ボード!$B$4,ボード!$B$11=""),"",ボード!$B$5+ボード!$B$11*(A7-ボード!$B$4)),"")</f>
        <v>10</v>
      </c>
    </row>
    <row r="9" customFormat="false" ht="15" hidden="false" customHeight="false" outlineLevel="0" collapsed="false">
      <c r="A9" s="2" t="s">
        <v>19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C2:C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</cols>
  <sheetData>
    <row r="1" customFormat="false" ht="21.6" hidden="false" customHeight="false" outlineLevel="0" collapsed="false">
      <c r="A1" s="1" t="s">
        <v>20</v>
      </c>
    </row>
    <row r="3" customFormat="false" ht="15" hidden="false" customHeight="false" outlineLevel="0" collapsed="false">
      <c r="A3" s="3" t="s">
        <v>21</v>
      </c>
    </row>
    <row r="4" customFormat="false" ht="17.15" hidden="false" customHeight="false" outlineLevel="0" collapsed="false">
      <c r="A4" s="6" t="s">
        <v>22</v>
      </c>
      <c r="B4" s="10" t="n">
        <f aca="false">IF(COUNT(記録!C2:C7)=0,"",LOOKUP(2,1/(記録!C2:C7&lt;&gt;""),記録!A2:A7))</f>
        <v>3</v>
      </c>
    </row>
    <row r="5" customFormat="false" ht="17.15" hidden="false" customHeight="false" outlineLevel="0" collapsed="false">
      <c r="A5" s="6" t="s">
        <v>23</v>
      </c>
      <c r="B5" s="12" t="n">
        <f aca="false">IF(B4="","",LOOKUP(2,1/(記録!C2:C7&lt;&gt;""),記録!C2:C7))</f>
        <v>16</v>
      </c>
    </row>
    <row r="6" customFormat="false" ht="17.15" hidden="false" customHeight="false" outlineLevel="0" collapsed="false">
      <c r="A6" s="6" t="s">
        <v>24</v>
      </c>
      <c r="B6" s="11" t="n">
        <f aca="false">前提!B3</f>
        <v>10</v>
      </c>
    </row>
    <row r="7" customFormat="false" ht="17.15" hidden="false" customHeight="false" outlineLevel="0" collapsed="false">
      <c r="A7" s="6" t="s">
        <v>25</v>
      </c>
      <c r="B7" s="13" t="n">
        <f aca="false">IF(OR(B4="",(前提!B3-前提!B2)=0),"",(B5-前提!B2)/(前提!B3-前提!B2))</f>
        <v>0.5</v>
      </c>
    </row>
    <row r="8" customFormat="false" ht="17.15" hidden="false" customHeight="false" outlineLevel="0" collapsed="false">
      <c r="A8" s="6" t="s">
        <v>26</v>
      </c>
      <c r="B8" s="14" t="str">
        <f aca="false">IF(B4="","",IF((前提!B3-前提!B2)=0,"前提を確認（最初の値と目標が同じ）",IF((B5-INDEX(記録!B2:B7,B4))*SIGN((前提!B3-前提!B2))&gt;=0,"計画どおり、または先行","計画より遅れ")))</f>
        <v>計画どおり、または先行</v>
      </c>
    </row>
    <row r="9" customFormat="false" ht="17.15" hidden="false" customHeight="false" outlineLevel="0" collapsed="false">
      <c r="A9" s="6" t="s">
        <v>27</v>
      </c>
      <c r="B9" s="10" t="n">
        <f aca="false">IF(B4="","",前提!B4-B4)</f>
        <v>3</v>
      </c>
    </row>
    <row r="10" customFormat="false" ht="32.8" hidden="false" customHeight="false" outlineLevel="0" collapsed="false">
      <c r="A10" s="6" t="s">
        <v>28</v>
      </c>
      <c r="B10" s="12" t="n">
        <f aca="false">IF(OR(B4="",(前提!B3-前提!B2)=0),"",IF((前提!B3-B5)*SIGN((前提!B3-前提!B2))&lt;=0,0,IF(B9&lt;=0,"",(前提!B3-B5)/B9)))</f>
        <v>-2</v>
      </c>
    </row>
    <row r="11" customFormat="false" ht="32.8" hidden="false" customHeight="false" outlineLevel="0" collapsed="false">
      <c r="A11" s="6" t="s">
        <v>29</v>
      </c>
      <c r="B11" s="11" t="n">
        <f aca="false">IF(COUNT(記録!C2:C7)&lt;2,"",(B5-前提!B2)/B4)</f>
        <v>-2</v>
      </c>
    </row>
    <row r="12" customFormat="false" ht="32.8" hidden="false" customHeight="false" outlineLevel="0" collapsed="false">
      <c r="A12" s="6" t="s">
        <v>30</v>
      </c>
      <c r="B12" s="14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7)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期限内（6か月目ごろ）</v>
      </c>
    </row>
    <row r="13" customFormat="false" ht="17.15" hidden="false" customHeight="false" outlineLevel="0" collapsed="false">
      <c r="A13" s="6" t="s">
        <v>31</v>
      </c>
      <c r="B13" s="15" t="str">
        <f aca="false">IF(COUNTIF(記録!C2:C7,"&lt;0")&gt;0,"マイナスの値があります。確認してください",IF(B4="","実績を入力してください",IF(COUNT(記録!C2:C7)&lt;B4,"入力していない月があります（現在地は最後に入力した月で計算）","OK")))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3" t="s">
        <v>32</v>
      </c>
    </row>
    <row r="16" customFormat="false" ht="15" hidden="false" customHeight="false" outlineLevel="0" collapsed="false">
      <c r="A16" s="2" t="s">
        <v>33</v>
      </c>
    </row>
    <row r="18" customFormat="false" ht="17.15" hidden="false" customHeight="false" outlineLevel="0" collapsed="false">
      <c r="A18" s="16" t="s">
        <v>34</v>
      </c>
    </row>
    <row r="19" customFormat="false" ht="17.15" hidden="false" customHeight="false" outlineLevel="0" collapsed="false">
      <c r="A19" s="17" t="s">
        <v>35</v>
      </c>
      <c r="B19" s="8" t="n">
        <v>3</v>
      </c>
    </row>
    <row r="20" customFormat="false" ht="17.15" hidden="false" customHeight="false" outlineLevel="0" collapsed="false">
      <c r="A20" s="17" t="s">
        <v>36</v>
      </c>
      <c r="B20" s="8" t="n">
        <v>2</v>
      </c>
    </row>
    <row r="21" customFormat="false" ht="17.15" hidden="false" customHeight="false" outlineLevel="0" collapsed="false">
      <c r="A21" s="17" t="s">
        <v>37</v>
      </c>
      <c r="B21" s="13" t="n">
        <f aca="false">IF(OR(B19="",B19&lt;=0),"",MIN(B20/B19,1))</f>
        <v>0.666666666666667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19:B2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2026-10-30T03:39:02Z</dcterms:created>
  <dc:creator>openpyxl</dc:creator>
  <dc:description/>
  <dc:language>en-US</dc:language>
  <cp:lastModifiedBy/>
  <dcterms:modified xsi:type="dcterms:W3CDTF">2026-10-30T12:39:03Z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
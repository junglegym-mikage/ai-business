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スマホ" sheetId="1" state="visible" r:id="rId3"/>
    <sheet name="使い方" sheetId="2" state="visible" r:id="rId4"/>
    <sheet name="前提" sheetId="3" state="visible" r:id="rId5"/>
    <sheet name="記録" sheetId="4" state="visible" r:id="rId6"/>
    <sheet name="ボード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<sst xmlns="http://schemas.openxmlformats.org/spreadsheetml/2006/main" count="57" uniqueCount="54">
  <si>
    <r>
      <rPr>
        <b val="true"/>
        <sz val="13"/>
        <rFont val="Noto Sans CJK SC"/>
        <family val="2"/>
      </rPr>
      <t xml:space="preserve">① スマホで見る：</t>
    </r>
    <r>
      <rPr>
        <b val="true"/>
        <sz val="13"/>
        <rFont val="Arial"/>
        <family val="0"/>
        <charset val="1"/>
      </rPr>
      <t xml:space="preserve">AI</t>
    </r>
    <r>
      <rPr>
        <b val="true"/>
        <sz val="13"/>
        <rFont val="Noto Sans CJK SC"/>
        <family val="2"/>
      </rPr>
      <t xml:space="preserve">業務改善</t>
    </r>
  </si>
  <si>
    <t xml:space="preserve">■ 現在地</t>
  </si>
  <si>
    <t xml:space="preserve">現在地</t>
  </si>
  <si>
    <t xml:space="preserve">目標</t>
  </si>
  <si>
    <t xml:space="preserve">進み具合</t>
  </si>
  <si>
    <t xml:space="preserve">計画と比べて</t>
  </si>
  <si>
    <r>
      <rPr>
        <sz val="11"/>
        <rFont val="Noto Sans CJK SC"/>
        <family val="2"/>
      </rPr>
      <t xml:space="preserve">必要なペース（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か月あたり）</t>
    </r>
  </si>
  <si>
    <t xml:space="preserve">見込み（参考計算）</t>
  </si>
  <si>
    <t xml:space="preserve">入力のチェック</t>
  </si>
  <si>
    <r>
      <rPr>
        <sz val="9"/>
        <rFont val="Noto Sans CJK SC"/>
        <family val="2"/>
      </rPr>
      <t xml:space="preserve">単位：時間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月。見込みは過去の数値を直線で延ばした参考計算です。</t>
    </r>
  </si>
  <si>
    <r>
      <rPr>
        <b val="true"/>
        <sz val="11"/>
        <rFont val="Noto Sans CJK SC"/>
        <family val="2"/>
      </rPr>
      <t xml:space="preserve">■ 毎月の数字を入れる：事務作業時間（時間</t>
    </r>
    <r>
      <rPr>
        <b val="true"/>
        <sz val="11"/>
        <rFont val="Arial"/>
        <family val="0"/>
        <charset val="1"/>
      </rPr>
      <t xml:space="preserve">/</t>
    </r>
    <r>
      <rPr>
        <b val="true"/>
        <sz val="11"/>
        <rFont val="Noto Sans CJK SC"/>
        <family val="2"/>
      </rPr>
      <t xml:space="preserve">月）</t>
    </r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</si>
  <si>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か月目</t>
    </r>
  </si>
  <si>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か月目</t>
    </r>
  </si>
  <si>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か月目</t>
    </r>
  </si>
  <si>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か月目</t>
    </r>
  </si>
  <si>
    <r>
      <rPr>
        <sz val="11"/>
        <rFont val="Arial"/>
        <family val="0"/>
        <charset val="1"/>
      </rPr>
      <t xml:space="preserve">5</t>
    </r>
    <r>
      <rPr>
        <sz val="11"/>
        <rFont val="Noto Sans CJK SC"/>
        <family val="2"/>
      </rPr>
      <t xml:space="preserve">か月目</t>
    </r>
  </si>
  <si>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か月目</t>
    </r>
  </si>
  <si>
    <r>
      <rPr>
        <sz val="11"/>
        <rFont val="Arial"/>
        <family val="0"/>
        <charset val="1"/>
      </rPr>
      <t xml:space="preserve">AI</t>
    </r>
    <r>
      <rPr>
        <sz val="11"/>
        <rFont val="Noto Sans CJK SC"/>
        <family val="2"/>
      </rPr>
      <t xml:space="preserve">化が終わった業務の数</t>
    </r>
  </si>
  <si>
    <r>
      <rPr>
        <sz val="11"/>
        <rFont val="Arial"/>
        <family val="0"/>
        <charset val="1"/>
      </rPr>
      <t xml:space="preserve">AI</t>
    </r>
    <r>
      <rPr>
        <sz val="11"/>
        <rFont val="Noto Sans CJK SC"/>
        <family val="2"/>
      </rPr>
      <t xml:space="preserve">化の進み具合</t>
    </r>
  </si>
  <si>
    <r>
      <rPr>
        <b val="true"/>
        <sz val="14"/>
        <rFont val="Noto Sans CJK SC"/>
        <family val="2"/>
      </rPr>
      <t xml:space="preserve">① 現在地ボード：</t>
    </r>
    <r>
      <rPr>
        <b val="true"/>
        <sz val="14"/>
        <rFont val="Arial"/>
        <family val="0"/>
        <charset val="1"/>
      </rPr>
      <t xml:space="preserve">AI</t>
    </r>
    <r>
      <rPr>
        <b val="true"/>
        <sz val="14"/>
        <rFont val="Noto Sans CJK SC"/>
        <family val="2"/>
      </rPr>
      <t xml:space="preserve">業務改善</t>
    </r>
  </si>
  <si>
    <r>
      <rPr>
        <sz val="11"/>
        <rFont val="Noto Sans CJK SC"/>
        <family val="2"/>
      </rPr>
      <t xml:space="preserve">毎月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回、「スマホ」シートの下にある「毎月の数字を入れる」欄に、先月の事務作業の合計時間（時間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月）を入れてください。</t>
    </r>
  </si>
  <si>
    <t xml:space="preserve">入れると「ボード」シートで、現在地・目標までの進み具合・必要なペース・期限内に届く見込みが自動で計算され、残りの月の予定も作り直されます。</t>
  </si>
  <si>
    <t xml:space="preserve">「前提」シートの値は初回の計画書から転記します（月次更新プランでは運営者が見直します）。</t>
  </si>
  <si>
    <t xml:space="preserve">凡例</t>
  </si>
  <si>
    <t xml:space="preserve">黄色のセル（青字）＝あなたが入力する欄</t>
  </si>
  <si>
    <t xml:space="preserve">緑のセル＝自動で計算される「現在地」と「これからの予定」</t>
  </si>
  <si>
    <t xml:space="preserve">その他の白いセル＝自動計算（触らない）</t>
  </si>
  <si>
    <t xml:space="preserve">入っている数字は架空の記入例です。上書きしてお使いください。</t>
  </si>
  <si>
    <r>
      <rPr>
        <sz val="11"/>
        <rFont val="Noto Sans CJK SC"/>
        <family val="2"/>
      </rPr>
      <t xml:space="preserve">このシートは、入力した数字から機械的に計算した目安です。結果を保証するものではありません。氏名・口座番号・</t>
    </r>
    <r>
      <rPr>
        <sz val="11"/>
        <rFont val="Arial"/>
        <family val="0"/>
        <charset val="1"/>
      </rPr>
      <t xml:space="preserve">ID</t>
    </r>
    <r>
      <rPr>
        <sz val="11"/>
        <rFont val="Noto Sans CJK SC"/>
        <family val="2"/>
      </rPr>
      <t xml:space="preserve">・パスワード・学校名などは書かないでください。</t>
    </r>
  </si>
  <si>
    <t xml:space="preserve">前提（初回の計画書から転記）</t>
  </si>
  <si>
    <r>
      <rPr>
        <sz val="11"/>
        <rFont val="Noto Sans CJK SC"/>
        <family val="2"/>
      </rPr>
      <t xml:space="preserve">事務作業時間：最初の値（時間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月）</t>
    </r>
  </si>
  <si>
    <r>
      <rPr>
        <sz val="11"/>
        <rFont val="Noto Sans CJK SC"/>
        <family val="2"/>
      </rPr>
      <t xml:space="preserve">事務作業時間：目標の値（時間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月）</t>
    </r>
  </si>
  <si>
    <t xml:space="preserve">期限までの月数</t>
  </si>
  <si>
    <t xml:space="preserve">月</t>
  </si>
  <si>
    <r>
      <rPr>
        <b val="true"/>
        <sz val="11"/>
        <rFont val="Noto Sans CJK SC"/>
        <family val="2"/>
      </rPr>
      <t xml:space="preserve">当初の計画（時間</t>
    </r>
    <r>
      <rPr>
        <b val="true"/>
        <sz val="11"/>
        <rFont val="Arial"/>
        <family val="0"/>
        <charset val="1"/>
      </rPr>
      <t xml:space="preserve">/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</si>
  <si>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Noto Sans CJK SC"/>
        <family val="2"/>
      </rPr>
      <t xml:space="preserve">実績（時間</t>
    </r>
    <r>
      <rPr>
        <b val="true"/>
        <sz val="11"/>
        <rFont val="Arial"/>
        <family val="0"/>
        <charset val="1"/>
      </rPr>
      <t xml:space="preserve">/</t>
    </r>
    <r>
      <rPr>
        <b val="true"/>
        <sz val="11"/>
        <rFont val="Noto Sans CJK SC"/>
        <family val="2"/>
      </rPr>
      <t xml:space="preserve">月）※スマホのシートから自動</t>
    </r>
  </si>
  <si>
    <r>
      <rPr>
        <b val="true"/>
        <sz val="11"/>
        <rFont val="Noto Sans CJK SC"/>
        <family val="2"/>
      </rPr>
      <t xml:space="preserve">更新後の予定（時間</t>
    </r>
    <r>
      <rPr>
        <b val="true"/>
        <sz val="11"/>
        <rFont val="Arial"/>
        <family val="0"/>
        <charset val="1"/>
      </rPr>
      <t xml:space="preserve">/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</si>
  <si>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Noto Sans CJK SC"/>
        <family val="2"/>
      </rPr>
      <t xml:space="preserve">今のペースが続いた場合（時間</t>
    </r>
    <r>
      <rPr>
        <b val="true"/>
        <sz val="11"/>
        <rFont val="Arial"/>
        <family val="0"/>
        <charset val="1"/>
      </rPr>
      <t xml:space="preserve">/</t>
    </r>
    <r>
      <rPr>
        <b val="true"/>
        <sz val="11"/>
        <rFont val="Noto Sans CJK SC"/>
        <family val="2"/>
      </rPr>
      <t xml:space="preserve">月）</t>
    </r>
  </si>
  <si>
    <t xml:space="preserve">※ 実績は「スマホ」シートで入力します（この列は自動）。</t>
  </si>
  <si>
    <r>
      <rPr>
        <b val="true"/>
        <sz val="14"/>
        <rFont val="Noto Sans CJK SC"/>
        <family val="2"/>
      </rPr>
      <t xml:space="preserve">現在地ボード：</t>
    </r>
    <r>
      <rPr>
        <b val="true"/>
        <sz val="14"/>
        <rFont val="Arial"/>
        <family val="0"/>
        <charset val="1"/>
      </rPr>
      <t xml:space="preserve">AI</t>
    </r>
    <r>
      <rPr>
        <b val="true"/>
        <sz val="14"/>
        <rFont val="Noto Sans CJK SC"/>
        <family val="2"/>
      </rPr>
      <t xml:space="preserve">業務改善</t>
    </r>
  </si>
  <si>
    <t xml:space="preserve">最後に実績を入れた月</t>
  </si>
  <si>
    <r>
      <rPr>
        <sz val="11"/>
        <rFont val="Noto Sans CJK SC"/>
        <family val="2"/>
      </rPr>
      <t xml:space="preserve">現在の事務作業時間（時間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月）</t>
    </r>
  </si>
  <si>
    <r>
      <rPr>
        <sz val="11"/>
        <rFont val="Noto Sans CJK SC"/>
        <family val="2"/>
      </rPr>
      <t xml:space="preserve">目標（時間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月）</t>
    </r>
  </si>
  <si>
    <t xml:space="preserve">目標までの進み具合</t>
  </si>
  <si>
    <t xml:space="preserve">当初の計画と比べて</t>
  </si>
  <si>
    <t xml:space="preserve">残りの月数</t>
  </si>
  <si>
    <r>
      <rPr>
        <sz val="11"/>
        <rFont val="Noto Sans CJK SC"/>
        <family val="2"/>
      </rPr>
      <t xml:space="preserve">目標に届くために必要な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か月あたりの変化（時間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月）</t>
    </r>
  </si>
  <si>
    <r>
      <rPr>
        <sz val="11"/>
        <rFont val="Noto Sans CJK SC"/>
        <family val="2"/>
      </rPr>
      <t xml:space="preserve">これまでの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か月あたりの平均の変化（時間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月）</t>
    </r>
  </si>
  <si>
    <t xml:space="preserve">今のペースで目標に届く見込み（過去の数値を直線で延ばした参考計算）</t>
  </si>
  <si>
    <t xml:space="preserve">これからの予定（自動更新）</t>
  </si>
  <si>
    <t xml:space="preserve">「記録」シートの「更新後の予定」列に、残りの月ごとに目指す値が自動で入ります。実績を入れるたびに作り直されます。</t>
  </si>
  <si>
    <r>
      <rPr>
        <b val="true"/>
        <sz val="11"/>
        <rFont val="Arial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化した業務</t>
    </r>
  </si>
  <si>
    <r>
      <rPr>
        <sz val="11"/>
        <rFont val="Arial"/>
        <family val="0"/>
        <charset val="1"/>
      </rPr>
      <t xml:space="preserve">AI</t>
    </r>
    <r>
      <rPr>
        <sz val="11"/>
        <rFont val="Noto Sans CJK SC"/>
        <family val="2"/>
      </rPr>
      <t xml:space="preserve">化する予定の業務の数</t>
    </r>
  </si>
  <si>
    <r>
      <rPr>
        <sz val="11"/>
        <rFont val="Arial"/>
        <family val="0"/>
        <charset val="1"/>
      </rPr>
      <t xml:space="preserve">AI</t>
    </r>
    <r>
      <rPr>
        <sz val="11"/>
        <rFont val="Noto Sans CJK SC"/>
        <family val="2"/>
      </rPr>
      <t xml:space="preserve">化が終わった業務の数（スマホのシートから自動）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</si>
</sst>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%"/>
    <numFmt numFmtId="167" formatCode="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b val="true"/>
      <sz val="13"/>
      <name val="Arial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9"/>
      <name val="Noto Sans CJK SC"/>
      <family val="2"/>
    </font>
    <font>
      <sz val="9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Calibri"/>
      <family val="2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sz val="11"/>
      <color rgb="FF0000FF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E2F0D9"/>
        <bgColor rgb="FFDDE6F5"/>
      </patternFill>
    </fill>
    <fill>
      <patternFill patternType="solid">
        <fgColor rgb="FFFFF2CC"/>
        <bgColor rgb="FFE2F0D9"/>
      </patternFill>
    </fill>
    <fill>
      <patternFill patternType="solid">
        <fgColor rgb="FFDDE6F5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BE4B48"/>
      <rgbColor rgb="FFFFF2CC"/>
      <rgbColor rgb="FFDDE6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計画・実績・予定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"当初の計画"</c:f>
              <c:strCache>
                <c:ptCount val="1"/>
                <c:pt idx="0">
                  <c:v>当初の計画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記録!$A$2:$A$7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記録!$B$2:$B$7</c:f>
              <c:numCache>
                <c:formatCode>0.0</c:formatCode>
                <c:ptCount val="6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"実績"</c:f>
              <c:strCache>
                <c:ptCount val="1"/>
                <c:pt idx="0">
                  <c:v>実績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記録!$A$2:$A$7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スマホ!$B$27:$B$32</c:f>
              <c:numCache>
                <c:formatCode>0.0</c:formatCode>
                <c:ptCount val="6"/>
                <c:pt idx="0">
                  <c:v>22</c:v>
                </c:pt>
                <c:pt idx="1">
                  <c:v>20</c:v>
                </c:pt>
                <c:pt idx="2">
                  <c:v>16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"更新後の予定"</c:f>
              <c:strCache>
                <c:ptCount val="1"/>
                <c:pt idx="0">
                  <c:v>更新後の予定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記録!$A$2:$A$7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記録!$D$2:$D$7</c:f>
              <c:numCache>
                <c:formatCode>0.0</c:formatCode>
                <c:ptCount val="6"/>
                <c:pt idx="3">
                  <c:v>14</c:v>
                </c:pt>
                <c:pt idx="4">
                  <c:v>12</c:v>
                </c:pt>
                <c:pt idx="5">
                  <c:v>10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6242545"/>
        <c:axId val="22367625"/>
      </c:lineChart>
      <c:catAx>
        <c:axId val="5624254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367625"/>
        <c:crosses val="autoZero"/>
        <c:auto val="1"/>
        <c:lblAlgn val="ctr"/>
        <c:lblOffset val="100"/>
        <c:noMultiLvlLbl val="0"/>
      </c:catAx>
      <c:valAx>
        <c:axId val="223676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時間/月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24254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当初の計画・実績・更新後の予定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"当初の計画"</c:f>
              <c:strCache>
                <c:ptCount val="1"/>
                <c:pt idx="0">
                  <c:v>当初の計画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記録!$A$2:$A$7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記録!$B$2:$B$7</c:f>
              <c:numCache>
                <c:formatCode>0.0</c:formatCode>
                <c:ptCount val="6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"実績"</c:f>
              <c:strCache>
                <c:ptCount val="1"/>
                <c:pt idx="0">
                  <c:v>実績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記録!$A$2:$A$7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スマホ!$B$27:$B$32</c:f>
              <c:numCache>
                <c:formatCode>0.0</c:formatCode>
                <c:ptCount val="6"/>
                <c:pt idx="0">
                  <c:v>22</c:v>
                </c:pt>
                <c:pt idx="1">
                  <c:v>20</c:v>
                </c:pt>
                <c:pt idx="2">
                  <c:v>16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"更新後の予定"</c:f>
              <c:strCache>
                <c:ptCount val="1"/>
                <c:pt idx="0">
                  <c:v>更新後の予定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記録!$A$2:$A$7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記録!$D$2:$D$7</c:f>
              <c:numCache>
                <c:formatCode>0.0</c:formatCode>
                <c:ptCount val="6"/>
                <c:pt idx="3">
                  <c:v>14</c:v>
                </c:pt>
                <c:pt idx="4">
                  <c:v>12</c:v>
                </c:pt>
                <c:pt idx="5">
                  <c:v>10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0219136"/>
        <c:axId val="66487922"/>
      </c:lineChart>
      <c:catAx>
        <c:axId val="3021913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487922"/>
        <c:crosses val="autoZero"/>
        <c:auto val="1"/>
        <c:lblAlgn val="ctr"/>
        <c:lblOffset val="100"/>
        <c:noMultiLvlLbl val="0"/>
      </c:catAx>
      <c:valAx>
        <c:axId val="664879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時間/月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21913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593280</xdr:rowOff>
    </xdr:from>
    <xdr:to>
      <xdr:col>3</xdr:col>
      <xdr:colOff>129600</xdr:colOff>
      <xdr:row>22</xdr:row>
      <xdr:rowOff>122040</xdr:rowOff>
    </xdr:to>
    <xdr:graphicFrame>
      <xdr:nvGraphicFramePr>
        <xdr:cNvPr id="0" name="Chart 1"/>
        <xdr:cNvGraphicFramePr/>
      </xdr:nvGraphicFramePr>
      <xdr:xfrm>
        <a:off x="0" y="5143680"/>
        <a:ext cx="34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106560</xdr:rowOff>
    </xdr:from>
    <xdr:to>
      <xdr:col>16</xdr:col>
      <xdr:colOff>473040</xdr:colOff>
      <xdr:row>14</xdr:row>
      <xdr:rowOff>360</xdr:rowOff>
    </xdr:to>
    <xdr:graphicFrame>
      <xdr:nvGraphicFramePr>
        <xdr:cNvPr id="1" name="Chart 1"/>
        <xdr:cNvGraphicFramePr/>
      </xdr:nvGraphicFramePr>
      <xdr:xfrm>
        <a:off x="7896240" y="3808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</cols>
  <sheetData>
    <row r="1" customFormat="false" ht="38.8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43.5" hidden="false" customHeight="true" outlineLevel="0" collapsed="false">
      <c r="A3" s="3" t="s">
        <v>2</v>
      </c>
      <c r="B3" s="4" t="n">
        <f aca="false">ボード!B5</f>
        <v>16</v>
      </c>
    </row>
    <row r="4" customFormat="false" ht="43.5" hidden="false" customHeight="true" outlineLevel="0" collapsed="false">
      <c r="A4" s="3" t="s">
        <v>3</v>
      </c>
      <c r="B4" s="5" t="n">
        <f aca="false">ボード!B6</f>
        <v>10</v>
      </c>
    </row>
    <row r="5" customFormat="false" ht="43.5" hidden="false" customHeight="true" outlineLevel="0" collapsed="false">
      <c r="A5" s="3" t="s">
        <v>4</v>
      </c>
      <c r="B5" s="6" t="n">
        <f aca="false">ボード!B7</f>
        <v>0.5</v>
      </c>
    </row>
    <row r="6" customFormat="false" ht="43.5" hidden="false" customHeight="true" outlineLevel="0" collapsed="false">
      <c r="A6" s="3" t="s">
        <v>5</v>
      </c>
      <c r="B6" s="3" t="str">
        <f aca="false">ボード!B8</f>
        <v>計画どおり、または先行</v>
      </c>
    </row>
    <row r="7" customFormat="false" ht="43.5" hidden="false" customHeight="true" outlineLevel="0" collapsed="false">
      <c r="A7" s="3" t="s">
        <v>6</v>
      </c>
      <c r="B7" s="5" t="n">
        <f aca="false">ボード!B10</f>
        <v>-2</v>
      </c>
    </row>
    <row r="8" customFormat="false" ht="43.5" hidden="false" customHeight="true" outlineLevel="0" collapsed="false">
      <c r="A8" s="3" t="s">
        <v>7</v>
      </c>
      <c r="B8" s="7" t="str">
        <f aca="false">ボード!B12</f>
        <v>期限内（6か月目ごろ）</v>
      </c>
    </row>
    <row r="9" customFormat="false" ht="43.5" hidden="false" customHeight="true" outlineLevel="0" collapsed="false">
      <c r="A9" s="3" t="s">
        <v>8</v>
      </c>
      <c r="B9" s="3" t="str">
        <f aca="false">ボード!B13</f>
        <v>OK</v>
      </c>
    </row>
    <row r="10" customFormat="false" ht="55.5" hidden="false" customHeight="true" outlineLevel="0" collapsed="false">
      <c r="A10" s="8" t="s">
        <v>9</v>
      </c>
      <c r="B10" s="8"/>
    </row>
    <row r="26" customFormat="false" ht="17.15" hidden="false" customHeight="false" outlineLevel="0" collapsed="false">
      <c r="A26" s="9" t="s">
        <v>10</v>
      </c>
      <c r="B26" s="9"/>
    </row>
    <row r="27" customFormat="false" ht="17.15" hidden="false" customHeight="false" outlineLevel="0" collapsed="false">
      <c r="A27" s="10" t="s">
        <v>11</v>
      </c>
      <c r="B27" s="11" t="n">
        <v>22</v>
      </c>
    </row>
    <row r="28" customFormat="false" ht="17.15" hidden="false" customHeight="false" outlineLevel="0" collapsed="false">
      <c r="A28" s="10" t="s">
        <v>12</v>
      </c>
      <c r="B28" s="11" t="n">
        <v>20</v>
      </c>
    </row>
    <row r="29" customFormat="false" ht="17.15" hidden="false" customHeight="false" outlineLevel="0" collapsed="false">
      <c r="A29" s="10" t="s">
        <v>13</v>
      </c>
      <c r="B29" s="11" t="n">
        <v>16</v>
      </c>
    </row>
    <row r="30" customFormat="false" ht="17.15" hidden="false" customHeight="false" outlineLevel="0" collapsed="false">
      <c r="A30" s="10" t="s">
        <v>14</v>
      </c>
      <c r="B30" s="11"/>
    </row>
    <row r="31" customFormat="false" ht="17.15" hidden="false" customHeight="false" outlineLevel="0" collapsed="false">
      <c r="A31" s="10" t="s">
        <v>15</v>
      </c>
      <c r="B31" s="11"/>
    </row>
    <row r="32" customFormat="false" ht="17.15" hidden="false" customHeight="false" outlineLevel="0" collapsed="false">
      <c r="A32" s="10" t="s">
        <v>16</v>
      </c>
      <c r="B32" s="11"/>
    </row>
    <row r="34" customFormat="false" ht="32.8" hidden="false" customHeight="false" outlineLevel="0" collapsed="false">
      <c r="A34" s="10" t="s">
        <v>17</v>
      </c>
      <c r="B34" s="12" t="n">
        <v>2</v>
      </c>
    </row>
    <row r="35" customFormat="false" ht="17.15" hidden="false" customHeight="false" outlineLevel="0" collapsed="false">
      <c r="A35" s="10" t="s">
        <v>18</v>
      </c>
      <c r="B35" s="6" t="n">
        <f aca="false">ボード!B21</f>
        <v>0.666666666666667</v>
      </c>
    </row>
  </sheetData>
  <mergeCells count="2">
    <mergeCell ref="A10:B10"/>
    <mergeCell ref="A26:B26"/>
  </mergeCells>
  <dataValidations count="1">
    <dataValidation allowBlank="true" error="0以上の数字を入れてください" errorStyle="stop" errorTitle="入力の確認" operator="greaterThanOrEqual" showDropDown="false" showErrorMessage="true" showInputMessage="false" sqref="B27:B32 B3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21.6" hidden="false" customHeight="false" outlineLevel="0" collapsed="false">
      <c r="A1" s="13" t="s">
        <v>19</v>
      </c>
    </row>
    <row r="3" customFormat="false" ht="17.15" hidden="false" customHeight="false" outlineLevel="0" collapsed="false">
      <c r="A3" s="14" t="s">
        <v>20</v>
      </c>
    </row>
    <row r="4" customFormat="false" ht="15" hidden="false" customHeight="false" outlineLevel="0" collapsed="false">
      <c r="A4" s="14" t="s">
        <v>21</v>
      </c>
    </row>
    <row r="5" customFormat="false" ht="15" hidden="false" customHeight="false" outlineLevel="0" collapsed="false">
      <c r="A5" s="14" t="s">
        <v>22</v>
      </c>
    </row>
    <row r="7" customFormat="false" ht="15" hidden="false" customHeight="false" outlineLevel="0" collapsed="false">
      <c r="A7" s="2" t="s">
        <v>23</v>
      </c>
    </row>
    <row r="8" customFormat="false" ht="15" hidden="false" customHeight="false" outlineLevel="0" collapsed="false">
      <c r="A8" s="15" t="s">
        <v>24</v>
      </c>
    </row>
    <row r="9" customFormat="false" ht="15" hidden="false" customHeight="false" outlineLevel="0" collapsed="false">
      <c r="A9" s="16" t="s">
        <v>25</v>
      </c>
    </row>
    <row r="10" customFormat="false" ht="15" hidden="false" customHeight="false" outlineLevel="0" collapsed="false">
      <c r="A10" s="14" t="s">
        <v>26</v>
      </c>
    </row>
    <row r="11" customFormat="false" ht="15" hidden="false" customHeight="false" outlineLevel="0" collapsed="false">
      <c r="A11" s="14" t="s">
        <v>27</v>
      </c>
    </row>
    <row r="13" customFormat="false" ht="17.15" hidden="false" customHeight="false" outlineLevel="0" collapsed="false">
      <c r="A13" s="14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2" t="s">
        <v>29</v>
      </c>
    </row>
    <row r="2" customFormat="false" ht="17.15" hidden="false" customHeight="false" outlineLevel="0" collapsed="false">
      <c r="A2" s="3" t="s">
        <v>30</v>
      </c>
      <c r="B2" s="11" t="n">
        <v>22</v>
      </c>
    </row>
    <row r="3" customFormat="false" ht="17.15" hidden="false" customHeight="false" outlineLevel="0" collapsed="false">
      <c r="A3" s="3" t="s">
        <v>31</v>
      </c>
      <c r="B3" s="11" t="n">
        <v>10</v>
      </c>
    </row>
    <row r="4" customFormat="false" ht="17.15" hidden="false" customHeight="false" outlineLevel="0" collapsed="false">
      <c r="A4" s="3" t="s">
        <v>32</v>
      </c>
      <c r="B4" s="12" t="n">
        <v>6</v>
      </c>
    </row>
  </sheetData>
  <dataValidations count="1">
    <dataValidation allowBlank="true" error="0以上の数字を入れてください" errorStyle="stop" errorTitle="入力の確認" operator="greaterThanOrEqual" showDropDown="false" showErrorMessage="true" showInputMessage="false" sqref="B2:B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8"/>
    <col collapsed="false" customWidth="true" hidden="false" outlineLevel="0" max="5" min="5" style="0" width="22"/>
  </cols>
  <sheetData>
    <row r="1" customFormat="false" ht="31.5" hidden="false" customHeight="true" outlineLevel="0" collapsed="false">
      <c r="A1" s="17" t="s">
        <v>33</v>
      </c>
      <c r="B1" s="17" t="s">
        <v>34</v>
      </c>
      <c r="C1" s="17" t="s">
        <v>35</v>
      </c>
      <c r="D1" s="17" t="s">
        <v>36</v>
      </c>
      <c r="E1" s="17" t="s">
        <v>37</v>
      </c>
    </row>
    <row r="2" customFormat="false" ht="15" hidden="false" customHeight="false" outlineLevel="0" collapsed="false">
      <c r="A2" s="18" t="n">
        <v>1</v>
      </c>
      <c r="B2" s="19" t="n">
        <f aca="false">前提!$B$2+(前提!$B$3-前提!$B$2)*A2/前提!$B$4</f>
        <v>20</v>
      </c>
      <c r="C2" s="19" t="n">
        <f aca="false">IF(スマホ!B27="","",スマホ!B27)</f>
        <v>22</v>
      </c>
      <c r="D2" s="19" t="str">
        <f aca="false">IFERROR(IF(OR(ボード!$B$4="",ボード!$B$10="",A2&lt;=ボード!$B$4),"",ボード!$B$5+ボード!$B$10*(A2-ボード!$B$4)),"")</f>
        <v/>
      </c>
      <c r="E2" s="19" t="str">
        <f aca="false">IFERROR(IF(OR(ボード!$B$4="",A2&lt;=ボード!$B$4,ボード!$B$11=""),"",ボード!$B$5+ボード!$B$11*(A2-ボード!$B$4)),"")</f>
        <v/>
      </c>
    </row>
    <row r="3" customFormat="false" ht="15" hidden="false" customHeight="false" outlineLevel="0" collapsed="false">
      <c r="A3" s="18" t="n">
        <v>2</v>
      </c>
      <c r="B3" s="19" t="n">
        <f aca="false">前提!$B$2+(前提!$B$3-前提!$B$2)*A3/前提!$B$4</f>
        <v>18</v>
      </c>
      <c r="C3" s="19" t="n">
        <f aca="false">IF(スマホ!B28="","",スマホ!B28)</f>
        <v>20</v>
      </c>
      <c r="D3" s="19" t="str">
        <f aca="false">IFERROR(IF(OR(ボード!$B$4="",ボード!$B$10="",A3&lt;=ボード!$B$4),"",ボード!$B$5+ボード!$B$10*(A3-ボード!$B$4)),"")</f>
        <v/>
      </c>
      <c r="E3" s="19" t="str">
        <f aca="false">IFERROR(IF(OR(ボード!$B$4="",A3&lt;=ボード!$B$4,ボード!$B$11=""),"",ボード!$B$5+ボード!$B$11*(A3-ボード!$B$4)),"")</f>
        <v/>
      </c>
    </row>
    <row r="4" customFormat="false" ht="15" hidden="false" customHeight="false" outlineLevel="0" collapsed="false">
      <c r="A4" s="18" t="n">
        <v>3</v>
      </c>
      <c r="B4" s="19" t="n">
        <f aca="false">前提!$B$2+(前提!$B$3-前提!$B$2)*A4/前提!$B$4</f>
        <v>16</v>
      </c>
      <c r="C4" s="19" t="n">
        <f aca="false">IF(スマホ!B29="","",スマホ!B29)</f>
        <v>16</v>
      </c>
      <c r="D4" s="19" t="str">
        <f aca="false">IFERROR(IF(OR(ボード!$B$4="",ボード!$B$10="",A4&lt;=ボード!$B$4),"",ボード!$B$5+ボード!$B$10*(A4-ボード!$B$4)),"")</f>
        <v/>
      </c>
      <c r="E4" s="19" t="str">
        <f aca="false">IFERROR(IF(OR(ボード!$B$4="",A4&lt;=ボード!$B$4,ボード!$B$11=""),"",ボード!$B$5+ボード!$B$11*(A4-ボード!$B$4)),"")</f>
        <v/>
      </c>
    </row>
    <row r="5" customFormat="false" ht="15" hidden="false" customHeight="false" outlineLevel="0" collapsed="false">
      <c r="A5" s="18" t="n">
        <v>4</v>
      </c>
      <c r="B5" s="19" t="n">
        <f aca="false">前提!$B$2+(前提!$B$3-前提!$B$2)*A5/前提!$B$4</f>
        <v>14</v>
      </c>
      <c r="C5" s="19" t="str">
        <f aca="false">IF(スマホ!B30="","",スマホ!B30)</f>
        <v/>
      </c>
      <c r="D5" s="19" t="n">
        <f aca="false">IFERROR(IF(OR(ボード!$B$4="",ボード!$B$10="",A5&lt;=ボード!$B$4),"",ボード!$B$5+ボード!$B$10*(A5-ボード!$B$4)),"")</f>
        <v>14</v>
      </c>
      <c r="E5" s="19" t="n">
        <f aca="false">IFERROR(IF(OR(ボード!$B$4="",A5&lt;=ボード!$B$4,ボード!$B$11=""),"",ボード!$B$5+ボード!$B$11*(A5-ボード!$B$4)),"")</f>
        <v>14</v>
      </c>
    </row>
    <row r="6" customFormat="false" ht="15" hidden="false" customHeight="false" outlineLevel="0" collapsed="false">
      <c r="A6" s="18" t="n">
        <v>5</v>
      </c>
      <c r="B6" s="19" t="n">
        <f aca="false">前提!$B$2+(前提!$B$3-前提!$B$2)*A6/前提!$B$4</f>
        <v>12</v>
      </c>
      <c r="C6" s="19" t="str">
        <f aca="false">IF(スマホ!B31="","",スマホ!B31)</f>
        <v/>
      </c>
      <c r="D6" s="19" t="n">
        <f aca="false">IFERROR(IF(OR(ボード!$B$4="",ボード!$B$10="",A6&lt;=ボード!$B$4),"",ボード!$B$5+ボード!$B$10*(A6-ボード!$B$4)),"")</f>
        <v>12</v>
      </c>
      <c r="E6" s="19" t="n">
        <f aca="false">IFERROR(IF(OR(ボード!$B$4="",A6&lt;=ボード!$B$4,ボード!$B$11=""),"",ボード!$B$5+ボード!$B$11*(A6-ボード!$B$4)),"")</f>
        <v>12</v>
      </c>
    </row>
    <row r="7" customFormat="false" ht="15" hidden="false" customHeight="false" outlineLevel="0" collapsed="false">
      <c r="A7" s="18" t="n">
        <v>6</v>
      </c>
      <c r="B7" s="19" t="n">
        <f aca="false">前提!$B$2+(前提!$B$3-前提!$B$2)*A7/前提!$B$4</f>
        <v>10</v>
      </c>
      <c r="C7" s="19" t="str">
        <f aca="false">IF(スマホ!B32="","",スマホ!B32)</f>
        <v/>
      </c>
      <c r="D7" s="19" t="n">
        <f aca="false">IFERROR(IF(OR(ボード!$B$4="",ボード!$B$10="",A7&lt;=ボード!$B$4),"",ボード!$B$5+ボード!$B$10*(A7-ボード!$B$4)),"")</f>
        <v>10</v>
      </c>
      <c r="E7" s="19" t="n">
        <f aca="false">IFERROR(IF(OR(ボード!$B$4="",A7&lt;=ボード!$B$4,ボード!$B$11=""),"",ボード!$B$5+ボード!$B$11*(A7-ボード!$B$4)),"")</f>
        <v>10</v>
      </c>
    </row>
    <row r="9" customFormat="false" ht="15" hidden="false" customHeight="false" outlineLevel="0" collapsed="false">
      <c r="A9" s="14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0"/>
  </cols>
  <sheetData>
    <row r="1" customFormat="false" ht="21.6" hidden="false" customHeight="false" outlineLevel="0" collapsed="false">
      <c r="A1" s="13" t="s">
        <v>39</v>
      </c>
    </row>
    <row r="3" customFormat="false" ht="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3" t="s">
        <v>40</v>
      </c>
      <c r="B4" s="18" t="n">
        <f aca="false">IF(COUNT(記録!C2:C7)=0,"",INDEX(記録!A2:A7,MATCH(9.99E+307,記録!C2:C7)))</f>
        <v>3</v>
      </c>
    </row>
    <row r="5" customFormat="false" ht="17.15" hidden="false" customHeight="false" outlineLevel="0" collapsed="false">
      <c r="A5" s="3" t="s">
        <v>41</v>
      </c>
      <c r="B5" s="20" t="n">
        <f aca="false">IF(B4="","",INDEX(記録!C2:C7,MATCH(9.99E+307,記録!C2:C7)))</f>
        <v>16</v>
      </c>
    </row>
    <row r="6" customFormat="false" ht="17.15" hidden="false" customHeight="false" outlineLevel="0" collapsed="false">
      <c r="A6" s="3" t="s">
        <v>42</v>
      </c>
      <c r="B6" s="19" t="n">
        <f aca="false">前提!B3</f>
        <v>10</v>
      </c>
    </row>
    <row r="7" customFormat="false" ht="17.15" hidden="false" customHeight="false" outlineLevel="0" collapsed="false">
      <c r="A7" s="3" t="s">
        <v>43</v>
      </c>
      <c r="B7" s="21" t="n">
        <f aca="false">IF(OR(B4="",(前提!B3-前提!B2)=0),"",(B5-前提!B2)/(前提!B3-前提!B2))</f>
        <v>0.5</v>
      </c>
    </row>
    <row r="8" customFormat="false" ht="17.15" hidden="false" customHeight="false" outlineLevel="0" collapsed="false">
      <c r="A8" s="3" t="s">
        <v>44</v>
      </c>
      <c r="B8" s="22" t="str">
        <f aca="false">IF(B4="","",IF((前提!B3-前提!B2)=0,"前提を確認（最初の値と目標が同じ）",IF((B5-INDEX(記録!B2:B7,B4))*SIGN((前提!B3-前提!B2))&gt;=0,"計画どおり、または先行","計画より遅れ")))</f>
        <v>計画どおり、または先行</v>
      </c>
    </row>
    <row r="9" customFormat="false" ht="17.15" hidden="false" customHeight="false" outlineLevel="0" collapsed="false">
      <c r="A9" s="3" t="s">
        <v>45</v>
      </c>
      <c r="B9" s="18" t="n">
        <f aca="false">IF(B4="","",前提!B4-B4)</f>
        <v>3</v>
      </c>
    </row>
    <row r="10" customFormat="false" ht="32.8" hidden="false" customHeight="false" outlineLevel="0" collapsed="false">
      <c r="A10" s="3" t="s">
        <v>46</v>
      </c>
      <c r="B10" s="20" t="n">
        <f aca="false">IF(OR(B4="",(前提!B3-前提!B2)=0),"",IF((前提!B3-B5)*SIGN((前提!B3-前提!B2))&lt;=0,0,IF(B9&lt;=0,"",(前提!B3-B5)/B9)))</f>
        <v>-2</v>
      </c>
    </row>
    <row r="11" customFormat="false" ht="32.8" hidden="false" customHeight="false" outlineLevel="0" collapsed="false">
      <c r="A11" s="3" t="s">
        <v>47</v>
      </c>
      <c r="B11" s="19" t="n">
        <f aca="false">IF(COUNT(記録!C2:C7)&lt;2,"",(B5-前提!B2)/B4)</f>
        <v>-2</v>
      </c>
    </row>
    <row r="12" customFormat="false" ht="32.8" hidden="false" customHeight="false" outlineLevel="0" collapsed="false">
      <c r="A12" s="3" t="s">
        <v>48</v>
      </c>
      <c r="B12" s="22" t="str">
        <f aca="false">IF(B4="","",IF((前提!B3-前提!B2)=0,"前提を確認（最初の値と目標が同じ）",IF((前提!B3-B5)*SIGN((前提!B3-前提!B2))&lt;=0,"達成済み",IF(B9&lt;=0,"期限を過ぎています（前提の見直しが必要）",IF(COUNT(記録!C2:C7)&lt;2,"記録が2か月分以上で表示",IF(B11*SIGN((前提!B3-前提!B2))&lt;=0,"今のペースでは届かない（計画の見直しが必要）",IF(B4+(前提!B3-B5)/B11&lt;=前提!B4,"期限内（"&amp;ROUNDUP(B4+(前提!B3-B5)/B11,0)&amp;"か月目ごろ）","期限より遅れる（"&amp;ROUNDUP(B4+(前提!B3-B5)/B11,0)&amp;"か月目ごろ）")))))))</f>
        <v>期限内（6か月目ごろ）</v>
      </c>
    </row>
    <row r="13" customFormat="false" ht="17.15" hidden="false" customHeight="false" outlineLevel="0" collapsed="false">
      <c r="A13" s="3" t="s">
        <v>8</v>
      </c>
      <c r="B13" s="23" t="str">
        <f aca="false">IF(COUNTIF(記録!C2:C7,"&lt;0")&gt;0,"マイナスの値があります。確認してください",IF(B4="","実績を入力してください",IF(COUNT(記録!C2:C7)&lt;B4,"入力していない月があります（現在地は最後に入力した月で計算）","OK")))</f>
        <v>OK</v>
      </c>
    </row>
    <row r="15" customFormat="false" ht="15" hidden="false" customHeight="false" outlineLevel="0" collapsed="false">
      <c r="A15" s="2" t="s">
        <v>49</v>
      </c>
    </row>
    <row r="16" customFormat="false" ht="15" hidden="false" customHeight="false" outlineLevel="0" collapsed="false">
      <c r="A16" s="14" t="s">
        <v>50</v>
      </c>
    </row>
    <row r="18" customFormat="false" ht="17.15" hidden="false" customHeight="false" outlineLevel="0" collapsed="false">
      <c r="A18" s="24" t="s">
        <v>51</v>
      </c>
    </row>
    <row r="19" customFormat="false" ht="17.15" hidden="false" customHeight="false" outlineLevel="0" collapsed="false">
      <c r="A19" s="10" t="s">
        <v>52</v>
      </c>
      <c r="B19" s="12" t="n">
        <v>3</v>
      </c>
    </row>
    <row r="20" customFormat="false" ht="32.8" hidden="false" customHeight="false" outlineLevel="0" collapsed="false">
      <c r="A20" s="10" t="s">
        <v>53</v>
      </c>
      <c r="B20" s="18" t="n">
        <f aca="false">スマホ!B34</f>
        <v>2</v>
      </c>
    </row>
    <row r="21" customFormat="false" ht="17.15" hidden="false" customHeight="false" outlineLevel="0" collapsed="false">
      <c r="A21" s="10" t="s">
        <v>18</v>
      </c>
      <c r="B21" s="21" t="n">
        <f aca="false">IF(OR(B19="",B19&lt;=0),"",MIN(B20/B19,1))</f>
        <v>0.666666666666667</v>
      </c>
    </row>
  </sheetData>
  <dataValidations count="1">
    <dataValidation allowBlank="true" error="0以上の数字を入れてください" errorStyle="stop" errorTitle="入力の確認" operator="greaterThanOrEqual" showDropDown="false" showErrorMessage="true" showInputMessage="false" sqref="B19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2026-10-30T07:15:19Z</dcterms:created>
  <dc:creator>openpyxl</dc:creator>
  <dc:description/>
  <dc:language>en-US</dc:language>
  <cp:lastModifiedBy/>
  <dcterms:modified xsi:type="dcterms:W3CDTF">2026-10-30T16:15:56Z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
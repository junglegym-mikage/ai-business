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スマホ" sheetId="1" state="visible" r:id="rId3"/>
    <sheet name="使い方" sheetId="2" state="visible" r:id="rId4"/>
    <sheet name="前提" sheetId="3" state="visible" r:id="rId5"/>
    <sheet name="記録" sheetId="4" state="visible" r:id="rId6"/>
    <sheet name="ボード"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<sst xmlns="http://schemas.openxmlformats.org/spreadsheetml/2006/main" count="78" uniqueCount="77">
  <si>
    <t xml:space="preserve">② スマホで見る：家計・積立</t>
  </si>
  <si>
    <t xml:space="preserve">■ 現在地</t>
  </si>
  <si>
    <t xml:space="preserve">現在の積立残高</t>
  </si>
  <si>
    <t xml:space="preserve">目標</t>
  </si>
  <si>
    <t xml:space="preserve">進み具合</t>
  </si>
  <si>
    <t xml:space="preserve">計画と比べて</t>
  </si>
  <si>
    <t xml:space="preserve">目標に必要な毎月の積立額（更新後）</t>
  </si>
  <si>
    <t xml:space="preserve">今の積立額を続けた場合の期限時点（仮定）</t>
  </si>
  <si>
    <t xml:space="preserve">入力のチェック</t>
  </si>
  <si>
    <t xml:space="preserve">単位：円。仮定の利回りによる計算で、予測・保証ではありません。元本割れのリスクがあります。税金は含みません。</t>
  </si>
  <si>
    <t xml:space="preserve">■ 毎月の数字を入れる：月末の積立残高（円）</t>
  </si>
  <si>
    <r>
      <rPr>
        <sz val="11"/>
        <rFont val="Arial"/>
        <family val="0"/>
        <charset val="1"/>
      </rPr>
      <t xml:space="preserve">1</t>
    </r>
    <r>
      <rPr>
        <sz val="11"/>
        <rFont val="Noto Sans CJK SC"/>
        <family val="2"/>
      </rPr>
      <t xml:space="preserve">か月目</t>
    </r>
  </si>
  <si>
    <r>
      <rPr>
        <sz val="11"/>
        <rFont val="Arial"/>
        <family val="0"/>
        <charset val="1"/>
      </rPr>
      <t xml:space="preserve">2</t>
    </r>
    <r>
      <rPr>
        <sz val="11"/>
        <rFont val="Noto Sans CJK SC"/>
        <family val="2"/>
      </rPr>
      <t xml:space="preserve">か月目</t>
    </r>
  </si>
  <si>
    <r>
      <rPr>
        <sz val="11"/>
        <rFont val="Arial"/>
        <family val="0"/>
        <charset val="1"/>
      </rPr>
      <t xml:space="preserve">3</t>
    </r>
    <r>
      <rPr>
        <sz val="11"/>
        <rFont val="Noto Sans CJK SC"/>
        <family val="2"/>
      </rPr>
      <t xml:space="preserve">か月目</t>
    </r>
  </si>
  <si>
    <r>
      <rPr>
        <sz val="11"/>
        <rFont val="Arial"/>
        <family val="0"/>
        <charset val="1"/>
      </rPr>
      <t xml:space="preserve">4</t>
    </r>
    <r>
      <rPr>
        <sz val="11"/>
        <rFont val="Noto Sans CJK SC"/>
        <family val="2"/>
      </rPr>
      <t xml:space="preserve">か月目</t>
    </r>
  </si>
  <si>
    <r>
      <rPr>
        <sz val="11"/>
        <rFont val="Arial"/>
        <family val="0"/>
        <charset val="1"/>
      </rPr>
      <t xml:space="preserve">5</t>
    </r>
    <r>
      <rPr>
        <sz val="11"/>
        <rFont val="Noto Sans CJK SC"/>
        <family val="2"/>
      </rPr>
      <t xml:space="preserve">か月目</t>
    </r>
  </si>
  <si>
    <r>
      <rPr>
        <sz val="11"/>
        <rFont val="Arial"/>
        <family val="0"/>
        <charset val="1"/>
      </rPr>
      <t xml:space="preserve">6</t>
    </r>
    <r>
      <rPr>
        <sz val="11"/>
        <rFont val="Noto Sans CJK SC"/>
        <family val="2"/>
      </rPr>
      <t xml:space="preserve">か月目</t>
    </r>
  </si>
  <si>
    <r>
      <rPr>
        <sz val="11"/>
        <rFont val="Arial"/>
        <family val="0"/>
        <charset val="1"/>
      </rPr>
      <t xml:space="preserve">7</t>
    </r>
    <r>
      <rPr>
        <sz val="11"/>
        <rFont val="Noto Sans CJK SC"/>
        <family val="2"/>
      </rPr>
      <t xml:space="preserve">か月目</t>
    </r>
  </si>
  <si>
    <r>
      <rPr>
        <sz val="11"/>
        <rFont val="Arial"/>
        <family val="0"/>
        <charset val="1"/>
      </rPr>
      <t xml:space="preserve">8</t>
    </r>
    <r>
      <rPr>
        <sz val="11"/>
        <rFont val="Noto Sans CJK SC"/>
        <family val="2"/>
      </rPr>
      <t xml:space="preserve">か月目</t>
    </r>
  </si>
  <si>
    <r>
      <rPr>
        <sz val="11"/>
        <rFont val="Arial"/>
        <family val="0"/>
        <charset val="1"/>
      </rPr>
      <t xml:space="preserve">9</t>
    </r>
    <r>
      <rPr>
        <sz val="11"/>
        <rFont val="Noto Sans CJK SC"/>
        <family val="2"/>
      </rPr>
      <t xml:space="preserve">か月目</t>
    </r>
  </si>
  <si>
    <r>
      <rPr>
        <sz val="11"/>
        <rFont val="Arial"/>
        <family val="0"/>
        <charset val="1"/>
      </rPr>
      <t xml:space="preserve">10</t>
    </r>
    <r>
      <rPr>
        <sz val="11"/>
        <rFont val="Noto Sans CJK SC"/>
        <family val="2"/>
      </rPr>
      <t xml:space="preserve">か月目</t>
    </r>
  </si>
  <si>
    <r>
      <rPr>
        <sz val="11"/>
        <rFont val="Arial"/>
        <family val="0"/>
        <charset val="1"/>
      </rPr>
      <t xml:space="preserve">11</t>
    </r>
    <r>
      <rPr>
        <sz val="11"/>
        <rFont val="Noto Sans CJK SC"/>
        <family val="2"/>
      </rPr>
      <t xml:space="preserve">か月目</t>
    </r>
  </si>
  <si>
    <r>
      <rPr>
        <sz val="11"/>
        <rFont val="Arial"/>
        <family val="0"/>
        <charset val="1"/>
      </rPr>
      <t xml:space="preserve">12</t>
    </r>
    <r>
      <rPr>
        <sz val="11"/>
        <rFont val="Noto Sans CJK SC"/>
        <family val="2"/>
      </rPr>
      <t xml:space="preserve">か月目</t>
    </r>
  </si>
  <si>
    <r>
      <rPr>
        <sz val="11"/>
        <rFont val="Arial"/>
        <family val="0"/>
        <charset val="1"/>
      </rPr>
      <t xml:space="preserve">13</t>
    </r>
    <r>
      <rPr>
        <sz val="11"/>
        <rFont val="Noto Sans CJK SC"/>
        <family val="2"/>
      </rPr>
      <t xml:space="preserve">か月目</t>
    </r>
  </si>
  <si>
    <r>
      <rPr>
        <sz val="11"/>
        <rFont val="Arial"/>
        <family val="0"/>
        <charset val="1"/>
      </rPr>
      <t xml:space="preserve">14</t>
    </r>
    <r>
      <rPr>
        <sz val="11"/>
        <rFont val="Noto Sans CJK SC"/>
        <family val="2"/>
      </rPr>
      <t xml:space="preserve">か月目</t>
    </r>
  </si>
  <si>
    <r>
      <rPr>
        <sz val="11"/>
        <rFont val="Arial"/>
        <family val="0"/>
        <charset val="1"/>
      </rPr>
      <t xml:space="preserve">15</t>
    </r>
    <r>
      <rPr>
        <sz val="11"/>
        <rFont val="Noto Sans CJK SC"/>
        <family val="2"/>
      </rPr>
      <t xml:space="preserve">か月目</t>
    </r>
  </si>
  <si>
    <r>
      <rPr>
        <sz val="11"/>
        <rFont val="Arial"/>
        <family val="0"/>
        <charset val="1"/>
      </rPr>
      <t xml:space="preserve">16</t>
    </r>
    <r>
      <rPr>
        <sz val="11"/>
        <rFont val="Noto Sans CJK SC"/>
        <family val="2"/>
      </rPr>
      <t xml:space="preserve">か月目</t>
    </r>
  </si>
  <si>
    <r>
      <rPr>
        <sz val="11"/>
        <rFont val="Arial"/>
        <family val="0"/>
        <charset val="1"/>
      </rPr>
      <t xml:space="preserve">17</t>
    </r>
    <r>
      <rPr>
        <sz val="11"/>
        <rFont val="Noto Sans CJK SC"/>
        <family val="2"/>
      </rPr>
      <t xml:space="preserve">か月目</t>
    </r>
  </si>
  <si>
    <r>
      <rPr>
        <sz val="11"/>
        <rFont val="Arial"/>
        <family val="0"/>
        <charset val="1"/>
      </rPr>
      <t xml:space="preserve">18</t>
    </r>
    <r>
      <rPr>
        <sz val="11"/>
        <rFont val="Noto Sans CJK SC"/>
        <family val="2"/>
      </rPr>
      <t xml:space="preserve">か月目</t>
    </r>
  </si>
  <si>
    <r>
      <rPr>
        <sz val="11"/>
        <rFont val="Arial"/>
        <family val="0"/>
        <charset val="1"/>
      </rPr>
      <t xml:space="preserve">19</t>
    </r>
    <r>
      <rPr>
        <sz val="11"/>
        <rFont val="Noto Sans CJK SC"/>
        <family val="2"/>
      </rPr>
      <t xml:space="preserve">か月目</t>
    </r>
  </si>
  <si>
    <r>
      <rPr>
        <sz val="11"/>
        <rFont val="Arial"/>
        <family val="0"/>
        <charset val="1"/>
      </rPr>
      <t xml:space="preserve">20</t>
    </r>
    <r>
      <rPr>
        <sz val="11"/>
        <rFont val="Noto Sans CJK SC"/>
        <family val="2"/>
      </rPr>
      <t xml:space="preserve">か月目</t>
    </r>
  </si>
  <si>
    <r>
      <rPr>
        <sz val="11"/>
        <rFont val="Arial"/>
        <family val="0"/>
        <charset val="1"/>
      </rPr>
      <t xml:space="preserve">21</t>
    </r>
    <r>
      <rPr>
        <sz val="11"/>
        <rFont val="Noto Sans CJK SC"/>
        <family val="2"/>
      </rPr>
      <t xml:space="preserve">か月目</t>
    </r>
  </si>
  <si>
    <r>
      <rPr>
        <sz val="11"/>
        <rFont val="Arial"/>
        <family val="0"/>
        <charset val="1"/>
      </rPr>
      <t xml:space="preserve">22</t>
    </r>
    <r>
      <rPr>
        <sz val="11"/>
        <rFont val="Noto Sans CJK SC"/>
        <family val="2"/>
      </rPr>
      <t xml:space="preserve">か月目</t>
    </r>
  </si>
  <si>
    <r>
      <rPr>
        <sz val="11"/>
        <rFont val="Arial"/>
        <family val="0"/>
        <charset val="1"/>
      </rPr>
      <t xml:space="preserve">23</t>
    </r>
    <r>
      <rPr>
        <sz val="11"/>
        <rFont val="Noto Sans CJK SC"/>
        <family val="2"/>
      </rPr>
      <t xml:space="preserve">か月目</t>
    </r>
  </si>
  <si>
    <r>
      <rPr>
        <sz val="11"/>
        <rFont val="Arial"/>
        <family val="0"/>
        <charset val="1"/>
      </rPr>
      <t xml:space="preserve">24</t>
    </r>
    <r>
      <rPr>
        <sz val="11"/>
        <rFont val="Noto Sans CJK SC"/>
        <family val="2"/>
      </rPr>
      <t xml:space="preserve">か月目</t>
    </r>
  </si>
  <si>
    <r>
      <rPr>
        <sz val="11"/>
        <rFont val="Arial"/>
        <family val="0"/>
        <charset val="1"/>
      </rPr>
      <t xml:space="preserve">25</t>
    </r>
    <r>
      <rPr>
        <sz val="11"/>
        <rFont val="Noto Sans CJK SC"/>
        <family val="2"/>
      </rPr>
      <t xml:space="preserve">か月目</t>
    </r>
  </si>
  <si>
    <r>
      <rPr>
        <sz val="11"/>
        <rFont val="Arial"/>
        <family val="0"/>
        <charset val="1"/>
      </rPr>
      <t xml:space="preserve">26</t>
    </r>
    <r>
      <rPr>
        <sz val="11"/>
        <rFont val="Noto Sans CJK SC"/>
        <family val="2"/>
      </rPr>
      <t xml:space="preserve">か月目</t>
    </r>
  </si>
  <si>
    <r>
      <rPr>
        <sz val="11"/>
        <rFont val="Arial"/>
        <family val="0"/>
        <charset val="1"/>
      </rPr>
      <t xml:space="preserve">27</t>
    </r>
    <r>
      <rPr>
        <sz val="11"/>
        <rFont val="Noto Sans CJK SC"/>
        <family val="2"/>
      </rPr>
      <t xml:space="preserve">か月目</t>
    </r>
  </si>
  <si>
    <r>
      <rPr>
        <sz val="11"/>
        <rFont val="Arial"/>
        <family val="0"/>
        <charset val="1"/>
      </rPr>
      <t xml:space="preserve">28</t>
    </r>
    <r>
      <rPr>
        <sz val="11"/>
        <rFont val="Noto Sans CJK SC"/>
        <family val="2"/>
      </rPr>
      <t xml:space="preserve">か月目</t>
    </r>
  </si>
  <si>
    <r>
      <rPr>
        <sz val="11"/>
        <rFont val="Arial"/>
        <family val="0"/>
        <charset val="1"/>
      </rPr>
      <t xml:space="preserve">29</t>
    </r>
    <r>
      <rPr>
        <sz val="11"/>
        <rFont val="Noto Sans CJK SC"/>
        <family val="2"/>
      </rPr>
      <t xml:space="preserve">か月目</t>
    </r>
  </si>
  <si>
    <r>
      <rPr>
        <sz val="11"/>
        <rFont val="Arial"/>
        <family val="0"/>
        <charset val="1"/>
      </rPr>
      <t xml:space="preserve">30</t>
    </r>
    <r>
      <rPr>
        <sz val="11"/>
        <rFont val="Noto Sans CJK SC"/>
        <family val="2"/>
      </rPr>
      <t xml:space="preserve">か月目</t>
    </r>
  </si>
  <si>
    <t xml:space="preserve">② 現在地ボード：家計・積立</t>
  </si>
  <si>
    <r>
      <rPr>
        <sz val="11"/>
        <rFont val="Noto Sans CJK SC"/>
        <family val="2"/>
      </rPr>
      <t xml:space="preserve">毎月</t>
    </r>
    <r>
      <rPr>
        <sz val="11"/>
        <rFont val="Arial"/>
        <family val="0"/>
        <charset val="1"/>
      </rPr>
      <t xml:space="preserve">1</t>
    </r>
    <r>
      <rPr>
        <sz val="11"/>
        <rFont val="Noto Sans CJK SC"/>
        <family val="2"/>
      </rPr>
      <t xml:space="preserve">回、「スマホ」シートの下にある「毎月の数字を入れる」欄に、月末の積立残高（評価額のおおよその額）を入れてください。</t>
    </r>
  </si>
  <si>
    <t xml:space="preserve">入れると、現在地・目標までの進み具合と、期限までに目標に届くために必要な毎月の積立額が自動で計算され、残りの月の予定が作り直されます。</t>
  </si>
  <si>
    <r>
      <rPr>
        <sz val="11"/>
        <rFont val="Noto Sans CJK SC"/>
        <family val="2"/>
      </rPr>
      <t xml:space="preserve">利回りは仮定です（予測・保証ではありません）。</t>
    </r>
    <r>
      <rPr>
        <sz val="11"/>
        <rFont val="Arial"/>
        <family val="0"/>
        <charset val="1"/>
      </rPr>
      <t xml:space="preserve">0%</t>
    </r>
    <r>
      <rPr>
        <sz val="11"/>
        <rFont val="Noto Sans CJK SC"/>
        <family val="2"/>
      </rPr>
      <t xml:space="preserve">やマイナスでも試してください。税金（課税口座は利益に原則</t>
    </r>
    <r>
      <rPr>
        <sz val="11"/>
        <rFont val="Arial"/>
        <family val="0"/>
        <charset val="1"/>
      </rPr>
      <t xml:space="preserve">20.315%</t>
    </r>
    <r>
      <rPr>
        <sz val="11"/>
        <rFont val="Noto Sans CJK SC"/>
        <family val="2"/>
      </rPr>
      <t xml:space="preserve">）は含みません。銘柄や商品の選び方の助言は含みません。</t>
    </r>
  </si>
  <si>
    <t xml:space="preserve">凡例</t>
  </si>
  <si>
    <t xml:space="preserve">黄色のセル（青字）＝あなたが入力する欄</t>
  </si>
  <si>
    <t xml:space="preserve">緑のセル＝自動で計算される「現在地」と「これからの予定」</t>
  </si>
  <si>
    <t xml:space="preserve">その他の白いセル＝自動計算（触らない）</t>
  </si>
  <si>
    <t xml:space="preserve">入っている数字は架空の記入例です。上書きしてお使いください。</t>
  </si>
  <si>
    <r>
      <rPr>
        <sz val="11"/>
        <rFont val="Noto Sans CJK SC"/>
        <family val="2"/>
      </rPr>
      <t xml:space="preserve">このシートは、入力した数字から機械的に計算した目安です。結果を保証するものではありません。氏名・口座番号・</t>
    </r>
    <r>
      <rPr>
        <sz val="11"/>
        <rFont val="Arial"/>
        <family val="0"/>
        <charset val="1"/>
      </rPr>
      <t xml:space="preserve">ID</t>
    </r>
    <r>
      <rPr>
        <sz val="11"/>
        <rFont val="Noto Sans CJK SC"/>
        <family val="2"/>
      </rPr>
      <t xml:space="preserve">・パスワード・学校名などは書かないでください。</t>
    </r>
  </si>
  <si>
    <t xml:space="preserve">前提（仮定条件）</t>
  </si>
  <si>
    <t xml:space="preserve">最初の積立残高（円）</t>
  </si>
  <si>
    <t xml:space="preserve">目標の積立残高（円）</t>
  </si>
  <si>
    <t xml:space="preserve">期限までの月数</t>
  </si>
  <si>
    <t xml:space="preserve">仮定の利回り（年）</t>
  </si>
  <si>
    <t xml:space="preserve">運用手数料（年）</t>
  </si>
  <si>
    <t xml:space="preserve">月あたりの実質利回り（自動）</t>
  </si>
  <si>
    <t xml:space="preserve">当初の計画の毎月の積立額（自動・円）</t>
  </si>
  <si>
    <t xml:space="preserve">月</t>
  </si>
  <si>
    <t xml:space="preserve">当初の計画（円・仮定）</t>
  </si>
  <si>
    <t xml:space="preserve">実績（円）※スマホのシートから自動</t>
  </si>
  <si>
    <t xml:space="preserve">更新後の予定（円・仮定）</t>
  </si>
  <si>
    <t xml:space="preserve">※ 実績は「スマホ」シートで入力します（この列は自動）。</t>
  </si>
  <si>
    <t xml:space="preserve">現在地ボード：家計・積立（仮定条件にもとづく試算）</t>
  </si>
  <si>
    <t xml:space="preserve">現在地</t>
  </si>
  <si>
    <t xml:space="preserve">最後に実績を入れた月</t>
  </si>
  <si>
    <t xml:space="preserve">現在の積立残高（円）</t>
  </si>
  <si>
    <t xml:space="preserve">目標（円）</t>
  </si>
  <si>
    <t xml:space="preserve">目標までの進み具合</t>
  </si>
  <si>
    <t xml:space="preserve">当初の計画と比べて</t>
  </si>
  <si>
    <t xml:space="preserve">残りの月数</t>
  </si>
  <si>
    <t xml:space="preserve">目標に届くために必要な毎月の積立額（更新後・円）</t>
  </si>
  <si>
    <t xml:space="preserve">当初の計画の毎月の積立額（円）</t>
  </si>
  <si>
    <t xml:space="preserve">当初の積立額を続けた場合の期限時点の残高（円・仮定）</t>
  </si>
  <si>
    <r>
      <rPr>
        <sz val="11"/>
        <rFont val="Noto Sans CJK SC"/>
        <family val="2"/>
      </rPr>
      <t xml:space="preserve">計算の前提：月あたりの利回り＝（年の利回り−年の運用手数料）</t>
    </r>
    <r>
      <rPr>
        <sz val="11"/>
        <rFont val="Arial"/>
        <family val="0"/>
        <charset val="1"/>
      </rPr>
      <t xml:space="preserve">÷12</t>
    </r>
    <r>
      <rPr>
        <sz val="11"/>
        <rFont val="Noto Sans CJK SC"/>
        <family val="2"/>
      </rPr>
      <t xml:space="preserve">。最初の残高は</t>
    </r>
    <r>
      <rPr>
        <sz val="11"/>
        <rFont val="Arial"/>
        <family val="0"/>
        <charset val="1"/>
      </rPr>
      <t xml:space="preserve">1</t>
    </r>
    <r>
      <rPr>
        <sz val="11"/>
        <rFont val="Noto Sans CJK SC"/>
        <family val="2"/>
      </rPr>
      <t xml:space="preserve">か月目の初めにあり、毎月の積立は月末に入る。複利は月ごと。税金・物価上昇は含まない。</t>
    </r>
  </si>
  <si>
    <t xml:space="preserve">※ 仮定の利回りによる機械的な計算で、予測・保証ではありません。投資には元本割れのリスクがあります。</t>
  </si>
</sst>
</file>

<file path=xl/styles.xml><?xml version="1.0" encoding="utf-8"?>
<styleSheet xmlns="http://schemas.openxmlformats.org/spreadsheetml/2006/main">
  <numFmts count="6">
    <numFmt numFmtId="164" formatCode="General"/>
    <numFmt numFmtId="165" formatCode="#,##0"/>
    <numFmt numFmtId="166" formatCode="0%"/>
    <numFmt numFmtId="167" formatCode="0"/>
    <numFmt numFmtId="168" formatCode="0.0%"/>
    <numFmt numFmtId="169" formatCode="0.000%"/>
  </numFmts>
  <fonts count="16">
    <font>
      <sz val="11"/>
      <color theme="1"/>
      <name val="Calibri"/>
      <family val="2"/>
      <charset val="1"/>
    </font>
    <font>
      <sz val="10"/>
      <name val="Arial"/>
      <family val="0"/>
    </font>
    <font>
      <sz val="10"/>
      <name val="Arial"/>
      <family val="0"/>
    </font>
    <font>
      <sz val="10"/>
      <name val="Arial"/>
      <family val="0"/>
    </font>
    <font>
      <b val="true"/>
      <sz val="13"/>
      <name val="Noto Sans CJK SC"/>
      <family val="2"/>
    </font>
    <font>
      <b val="true"/>
      <sz val="11"/>
      <name val="Noto Sans CJK SC"/>
      <family val="2"/>
    </font>
    <font>
      <sz val="11"/>
      <name val="Noto Sans CJK SC"/>
      <family val="2"/>
    </font>
    <font>
      <b val="true"/>
      <sz val="11"/>
      <name val="Arial"/>
      <family val="0"/>
      <charset val="1"/>
    </font>
    <font>
      <sz val="11"/>
      <name val="Arial"/>
      <family val="0"/>
      <charset val="1"/>
    </font>
    <font>
      <sz val="9"/>
      <name val="Noto Sans CJK SC"/>
      <family val="2"/>
    </font>
    <font>
      <sz val="11"/>
      <color rgb="FF0000FF"/>
      <name val="Arial"/>
      <family val="0"/>
      <charset val="1"/>
    </font>
    <font>
      <b val="true"/>
      <sz val="18"/>
      <color rgb="FF000000"/>
      <name val="Noto Sans CJK SC"/>
      <family val="2"/>
    </font>
    <font>
      <sz val="10"/>
      <color rgb="FF000000"/>
      <name val="Calibri"/>
      <family val="2"/>
    </font>
    <font>
      <b val="true"/>
      <sz val="10"/>
      <color rgb="FF000000"/>
      <name val="Noto Sans CJK SC"/>
      <family val="2"/>
    </font>
    <font>
      <b val="true"/>
      <sz val="14"/>
      <name val="Noto Sans CJK SC"/>
      <family val="2"/>
    </font>
    <font>
      <sz val="11"/>
      <color rgb="FF0000FF"/>
      <name val="Noto Sans CJK SC"/>
      <family val="2"/>
    </font>
  </fonts>
  <fills count="5">
    <fill>
      <patternFill patternType="none"/>
    </fill>
    <fill>
      <patternFill patternType="gray125"/>
    </fill>
    <fill>
      <patternFill patternType="solid">
        <fgColor rgb="FFE2F0D9"/>
        <bgColor rgb="FFDDE6F5"/>
      </patternFill>
    </fill>
    <fill>
      <patternFill patternType="solid">
        <fgColor rgb="FFFFF2CC"/>
        <bgColor rgb="FFE2F0D9"/>
      </patternFill>
    </fill>
    <fill>
      <patternFill patternType="solid">
        <fgColor rgb="FFDDE6F5"/>
        <bgColor rgb="FFE2F0D9"/>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5" fontId="7" fillId="2" borderId="1" xfId="0" applyFont="true" applyBorder="true" applyAlignment="true" applyProtection="false">
      <alignment horizontal="general" vertical="center" textRotation="0" wrapText="true" indent="0" shrinkToFit="false"/>
      <protection locked="true" hidden="false"/>
    </xf>
    <xf numFmtId="165" fontId="8" fillId="0" borderId="1" xfId="0" applyFont="true" applyBorder="true" applyAlignment="true" applyProtection="false">
      <alignment horizontal="general" vertical="center" textRotation="0" wrapText="true" indent="0" shrinkToFit="false"/>
      <protection locked="true" hidden="false"/>
    </xf>
    <xf numFmtId="166" fontId="7" fillId="2"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center" textRotation="0" wrapText="tru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78787"/>
      <rgbColor rgb="FF9999FF"/>
      <rgbColor rgb="FFBE4B48"/>
      <rgbColor rgb="FFFFF2CC"/>
      <rgbColor rgb="FFDDE6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8B855"/>
      <rgbColor rgb="FFFFCC00"/>
      <rgbColor rgb="FFFF9900"/>
      <rgbColor rgb="FFFF6600"/>
      <rgbColor rgb="FF4A7EBB"/>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計画・実績・予定（仮定）</a:t>
            </a:r>
          </a:p>
        </c:rich>
      </c:tx>
      <c:overlay val="0"/>
      <c:spPr>
        <a:noFill/>
        <a:ln w="0">
          <a:noFill/>
        </a:ln>
      </c:spPr>
    </c:title>
    <c:autoTitleDeleted val="0"/>
    <c:plotArea>
      <c:lineChart>
        <c:grouping val="standard"/>
        <c:varyColors val="0"/>
        <c:ser>
          <c:idx val="0"/>
          <c:order val="0"/>
          <c:tx>
            <c:strRef>
              <c:f>"当初の計画"</c:f>
              <c:strCache>
                <c:ptCount val="1"/>
                <c:pt idx="0">
                  <c:v>当初の計画</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記録!$A$2:$A$31</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記録!$B$2:$B$31</c:f>
              <c:numCache>
                <c:formatCode>#,##0</c:formatCode>
                <c:ptCount val="30"/>
                <c:pt idx="0">
                  <c:v>32179.84338037</c:v>
                </c:pt>
                <c:pt idx="1">
                  <c:v>64437.4547155767</c:v>
                </c:pt>
                <c:pt idx="2">
                  <c:v>96773.0219448413</c:v>
                </c:pt>
                <c:pt idx="3">
                  <c:v>129186.733461579</c:v>
                </c:pt>
                <c:pt idx="4">
                  <c:v>161678.778114479</c:v>
                </c:pt>
                <c:pt idx="5">
                  <c:v>194249.345208628</c:v>
                </c:pt>
                <c:pt idx="6">
                  <c:v>226898.624506586</c:v>
                </c:pt>
                <c:pt idx="7">
                  <c:v>259626.806229513</c:v>
                </c:pt>
                <c:pt idx="8">
                  <c:v>292434.081058269</c:v>
                </c:pt>
                <c:pt idx="9">
                  <c:v>325320.640134532</c:v>
                </c:pt>
                <c:pt idx="10">
                  <c:v>358286.675061893</c:v>
                </c:pt>
                <c:pt idx="11">
                  <c:v>391332.377906997</c:v>
                </c:pt>
                <c:pt idx="12">
                  <c:v>424457.941200641</c:v>
                </c:pt>
                <c:pt idx="13">
                  <c:v>457663.557938913</c:v>
                </c:pt>
                <c:pt idx="14">
                  <c:v>490949.421584303</c:v>
                </c:pt>
                <c:pt idx="15">
                  <c:v>524315.726066834</c:v>
                </c:pt>
                <c:pt idx="16">
                  <c:v>557762.6657852</c:v>
                </c:pt>
                <c:pt idx="17">
                  <c:v>591290.435607884</c:v>
                </c:pt>
                <c:pt idx="18">
                  <c:v>624899.230874306</c:v>
                </c:pt>
                <c:pt idx="19">
                  <c:v>658589.247395956</c:v>
                </c:pt>
                <c:pt idx="20">
                  <c:v>692360.681457534</c:v>
                </c:pt>
                <c:pt idx="21">
                  <c:v>726213.729818092</c:v>
                </c:pt>
                <c:pt idx="22">
                  <c:v>760148.589712189</c:v>
                </c:pt>
                <c:pt idx="23">
                  <c:v>794165.45885103</c:v>
                </c:pt>
                <c:pt idx="24">
                  <c:v>828264.535423623</c:v>
                </c:pt>
                <c:pt idx="25">
                  <c:v>862446.018097934</c:v>
                </c:pt>
                <c:pt idx="26">
                  <c:v>896710.106022042</c:v>
                </c:pt>
                <c:pt idx="27">
                  <c:v>931056.998825299</c:v>
                </c:pt>
                <c:pt idx="28">
                  <c:v>965486.896619496</c:v>
                </c:pt>
                <c:pt idx="29">
                  <c:v>1000000.00000003</c:v>
                </c:pt>
              </c:numCache>
            </c:numRef>
          </c:val>
          <c:smooth val="1"/>
        </c:ser>
        <c:ser>
          <c:idx val="1"/>
          <c:order val="1"/>
          <c:tx>
            <c:strRef>
              <c:f>"実績"</c:f>
              <c:strCache>
                <c:ptCount val="1"/>
                <c:pt idx="0">
                  <c:v>実績</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記録!$A$2:$A$31</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スマホ!$B$27:$B$56</c:f>
              <c:numCache>
                <c:formatCode>#,##0</c:formatCode>
                <c:ptCount val="30"/>
                <c:pt idx="0">
                  <c:v>30500</c:v>
                </c:pt>
                <c:pt idx="1">
                  <c:v>61000</c:v>
                </c:pt>
                <c:pt idx="2">
                  <c:v>90000</c:v>
                </c:pt>
                <c:pt idx="3">
                  <c:v>118000</c:v>
                </c:pt>
              </c:numCache>
            </c:numRef>
          </c:val>
          <c:smooth val="1"/>
        </c:ser>
        <c:ser>
          <c:idx val="2"/>
          <c:order val="2"/>
          <c:tx>
            <c:strRef>
              <c:f>"更新後の予定"</c:f>
              <c:strCache>
                <c:ptCount val="1"/>
                <c:pt idx="0">
                  <c:v>更新後の予定</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記録!$A$2:$A$31</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記録!$D$2:$D$31</c:f>
              <c:numCache>
                <c:formatCode>#,##0</c:formatCode>
                <c:ptCount val="30"/>
                <c:pt idx="4">
                  <c:v>150909.447392526</c:v>
                </c:pt>
                <c:pt idx="5">
                  <c:v>183898.425949584</c:v>
                </c:pt>
                <c:pt idx="6">
                  <c:v>216967.127871486</c:v>
                </c:pt>
                <c:pt idx="7">
                  <c:v>250115.745823035</c:v>
                </c:pt>
                <c:pt idx="8">
                  <c:v>283344.472934632</c:v>
                </c:pt>
                <c:pt idx="9">
                  <c:v>316653.502803418</c:v>
                </c:pt>
                <c:pt idx="10">
                  <c:v>350043.029494386</c:v>
                </c:pt>
                <c:pt idx="11">
                  <c:v>383513.247541523</c:v>
                </c:pt>
                <c:pt idx="12">
                  <c:v>417064.351948939</c:v>
                </c:pt>
                <c:pt idx="13">
                  <c:v>450696.53819201</c:v>
                </c:pt>
                <c:pt idx="14">
                  <c:v>484410.002218498</c:v>
                </c:pt>
                <c:pt idx="15">
                  <c:v>518204.940449719</c:v>
                </c:pt>
                <c:pt idx="16">
                  <c:v>552081.549781664</c:v>
                </c:pt>
                <c:pt idx="17">
                  <c:v>586040.027586163</c:v>
                </c:pt>
                <c:pt idx="18">
                  <c:v>620080.571712022</c:v>
                </c:pt>
                <c:pt idx="19">
                  <c:v>654203.380486184</c:v>
                </c:pt>
                <c:pt idx="20">
                  <c:v>688408.652714886</c:v>
                </c:pt>
                <c:pt idx="21">
                  <c:v>722696.587684805</c:v>
                </c:pt>
                <c:pt idx="22">
                  <c:v>757067.385164236</c:v>
                </c:pt>
                <c:pt idx="23">
                  <c:v>791521.245404242</c:v>
                </c:pt>
                <c:pt idx="24">
                  <c:v>826058.369139829</c:v>
                </c:pt>
                <c:pt idx="25">
                  <c:v>860678.957591108</c:v>
                </c:pt>
                <c:pt idx="26">
                  <c:v>895383.212464479</c:v>
                </c:pt>
                <c:pt idx="27">
                  <c:v>930171.335953793</c:v>
                </c:pt>
                <c:pt idx="28">
                  <c:v>965043.530741541</c:v>
                </c:pt>
                <c:pt idx="29">
                  <c:v>1000000.00000003</c:v>
                </c:pt>
              </c:numCache>
            </c:numRef>
          </c:val>
          <c:smooth val="1"/>
        </c:ser>
        <c:hiLowLines>
          <c:spPr>
            <a:ln w="0">
              <a:noFill/>
            </a:ln>
          </c:spPr>
        </c:hiLowLines>
        <c:marker val="0"/>
        <c:axId val="49162816"/>
        <c:axId val="49709446"/>
      </c:lineChart>
      <c:catAx>
        <c:axId val="49162816"/>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709446"/>
        <c:crosses val="autoZero"/>
        <c:auto val="1"/>
        <c:lblAlgn val="ctr"/>
        <c:lblOffset val="100"/>
        <c:noMultiLvlLbl val="0"/>
      </c:catAx>
      <c:valAx>
        <c:axId val="4970944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円</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16281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当初の計画・実績・更新後の予定（仮定）</a:t>
            </a:r>
          </a:p>
        </c:rich>
      </c:tx>
      <c:overlay val="0"/>
      <c:spPr>
        <a:noFill/>
        <a:ln w="0">
          <a:noFill/>
        </a:ln>
      </c:spPr>
    </c:title>
    <c:autoTitleDeleted val="0"/>
    <c:plotArea>
      <c:lineChart>
        <c:grouping val="standard"/>
        <c:varyColors val="0"/>
        <c:ser>
          <c:idx val="0"/>
          <c:order val="0"/>
          <c:tx>
            <c:strRef>
              <c:f>"当初の計画"</c:f>
              <c:strCache>
                <c:ptCount val="1"/>
                <c:pt idx="0">
                  <c:v>当初の計画</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記録!$A$2:$A$31</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記録!$B$2:$B$31</c:f>
              <c:numCache>
                <c:formatCode>#,##0</c:formatCode>
                <c:ptCount val="30"/>
                <c:pt idx="0">
                  <c:v>32179.84338037</c:v>
                </c:pt>
                <c:pt idx="1">
                  <c:v>64437.4547155767</c:v>
                </c:pt>
                <c:pt idx="2">
                  <c:v>96773.0219448413</c:v>
                </c:pt>
                <c:pt idx="3">
                  <c:v>129186.733461579</c:v>
                </c:pt>
                <c:pt idx="4">
                  <c:v>161678.778114479</c:v>
                </c:pt>
                <c:pt idx="5">
                  <c:v>194249.345208628</c:v>
                </c:pt>
                <c:pt idx="6">
                  <c:v>226898.624506586</c:v>
                </c:pt>
                <c:pt idx="7">
                  <c:v>259626.806229513</c:v>
                </c:pt>
                <c:pt idx="8">
                  <c:v>292434.081058269</c:v>
                </c:pt>
                <c:pt idx="9">
                  <c:v>325320.640134532</c:v>
                </c:pt>
                <c:pt idx="10">
                  <c:v>358286.675061893</c:v>
                </c:pt>
                <c:pt idx="11">
                  <c:v>391332.377906997</c:v>
                </c:pt>
                <c:pt idx="12">
                  <c:v>424457.941200641</c:v>
                </c:pt>
                <c:pt idx="13">
                  <c:v>457663.557938913</c:v>
                </c:pt>
                <c:pt idx="14">
                  <c:v>490949.421584303</c:v>
                </c:pt>
                <c:pt idx="15">
                  <c:v>524315.726066834</c:v>
                </c:pt>
                <c:pt idx="16">
                  <c:v>557762.6657852</c:v>
                </c:pt>
                <c:pt idx="17">
                  <c:v>591290.435607884</c:v>
                </c:pt>
                <c:pt idx="18">
                  <c:v>624899.230874306</c:v>
                </c:pt>
                <c:pt idx="19">
                  <c:v>658589.247395956</c:v>
                </c:pt>
                <c:pt idx="20">
                  <c:v>692360.681457534</c:v>
                </c:pt>
                <c:pt idx="21">
                  <c:v>726213.729818092</c:v>
                </c:pt>
                <c:pt idx="22">
                  <c:v>760148.589712189</c:v>
                </c:pt>
                <c:pt idx="23">
                  <c:v>794165.45885103</c:v>
                </c:pt>
                <c:pt idx="24">
                  <c:v>828264.535423623</c:v>
                </c:pt>
                <c:pt idx="25">
                  <c:v>862446.018097934</c:v>
                </c:pt>
                <c:pt idx="26">
                  <c:v>896710.106022042</c:v>
                </c:pt>
                <c:pt idx="27">
                  <c:v>931056.998825299</c:v>
                </c:pt>
                <c:pt idx="28">
                  <c:v>965486.896619496</c:v>
                </c:pt>
                <c:pt idx="29">
                  <c:v>1000000.00000003</c:v>
                </c:pt>
              </c:numCache>
            </c:numRef>
          </c:val>
          <c:smooth val="1"/>
        </c:ser>
        <c:ser>
          <c:idx val="1"/>
          <c:order val="1"/>
          <c:tx>
            <c:strRef>
              <c:f>"実績"</c:f>
              <c:strCache>
                <c:ptCount val="1"/>
                <c:pt idx="0">
                  <c:v>実績</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記録!$A$2:$A$31</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スマホ!$B$27:$B$56</c:f>
              <c:numCache>
                <c:formatCode>#,##0</c:formatCode>
                <c:ptCount val="30"/>
                <c:pt idx="0">
                  <c:v>30500</c:v>
                </c:pt>
                <c:pt idx="1">
                  <c:v>61000</c:v>
                </c:pt>
                <c:pt idx="2">
                  <c:v>90000</c:v>
                </c:pt>
                <c:pt idx="3">
                  <c:v>118000</c:v>
                </c:pt>
              </c:numCache>
            </c:numRef>
          </c:val>
          <c:smooth val="1"/>
        </c:ser>
        <c:ser>
          <c:idx val="2"/>
          <c:order val="2"/>
          <c:tx>
            <c:strRef>
              <c:f>"更新後の予定"</c:f>
              <c:strCache>
                <c:ptCount val="1"/>
                <c:pt idx="0">
                  <c:v>更新後の予定</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記録!$A$2:$A$31</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記録!$D$2:$D$31</c:f>
              <c:numCache>
                <c:formatCode>#,##0</c:formatCode>
                <c:ptCount val="30"/>
                <c:pt idx="4">
                  <c:v>150909.447392526</c:v>
                </c:pt>
                <c:pt idx="5">
                  <c:v>183898.425949584</c:v>
                </c:pt>
                <c:pt idx="6">
                  <c:v>216967.127871486</c:v>
                </c:pt>
                <c:pt idx="7">
                  <c:v>250115.745823035</c:v>
                </c:pt>
                <c:pt idx="8">
                  <c:v>283344.472934632</c:v>
                </c:pt>
                <c:pt idx="9">
                  <c:v>316653.502803418</c:v>
                </c:pt>
                <c:pt idx="10">
                  <c:v>350043.029494386</c:v>
                </c:pt>
                <c:pt idx="11">
                  <c:v>383513.247541523</c:v>
                </c:pt>
                <c:pt idx="12">
                  <c:v>417064.351948939</c:v>
                </c:pt>
                <c:pt idx="13">
                  <c:v>450696.53819201</c:v>
                </c:pt>
                <c:pt idx="14">
                  <c:v>484410.002218498</c:v>
                </c:pt>
                <c:pt idx="15">
                  <c:v>518204.940449719</c:v>
                </c:pt>
                <c:pt idx="16">
                  <c:v>552081.549781664</c:v>
                </c:pt>
                <c:pt idx="17">
                  <c:v>586040.027586163</c:v>
                </c:pt>
                <c:pt idx="18">
                  <c:v>620080.571712022</c:v>
                </c:pt>
                <c:pt idx="19">
                  <c:v>654203.380486184</c:v>
                </c:pt>
                <c:pt idx="20">
                  <c:v>688408.652714886</c:v>
                </c:pt>
                <c:pt idx="21">
                  <c:v>722696.587684805</c:v>
                </c:pt>
                <c:pt idx="22">
                  <c:v>757067.385164236</c:v>
                </c:pt>
                <c:pt idx="23">
                  <c:v>791521.245404242</c:v>
                </c:pt>
                <c:pt idx="24">
                  <c:v>826058.369139829</c:v>
                </c:pt>
                <c:pt idx="25">
                  <c:v>860678.957591108</c:v>
                </c:pt>
                <c:pt idx="26">
                  <c:v>895383.212464479</c:v>
                </c:pt>
                <c:pt idx="27">
                  <c:v>930171.335953793</c:v>
                </c:pt>
                <c:pt idx="28">
                  <c:v>965043.530741541</c:v>
                </c:pt>
                <c:pt idx="29">
                  <c:v>1000000.00000003</c:v>
                </c:pt>
              </c:numCache>
            </c:numRef>
          </c:val>
          <c:smooth val="1"/>
        </c:ser>
        <c:hiLowLines>
          <c:spPr>
            <a:ln w="0">
              <a:noFill/>
            </a:ln>
          </c:spPr>
        </c:hiLowLines>
        <c:marker val="0"/>
        <c:axId val="37083562"/>
        <c:axId val="68112647"/>
      </c:lineChart>
      <c:catAx>
        <c:axId val="37083562"/>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112647"/>
        <c:crosses val="autoZero"/>
        <c:auto val="1"/>
        <c:lblAlgn val="ctr"/>
        <c:lblOffset val="100"/>
        <c:noMultiLvlLbl val="0"/>
      </c:catAx>
      <c:valAx>
        <c:axId val="6811264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円</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08356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9</xdr:row>
      <xdr:rowOff>593280</xdr:rowOff>
    </xdr:from>
    <xdr:to>
      <xdr:col>3</xdr:col>
      <xdr:colOff>129600</xdr:colOff>
      <xdr:row>22</xdr:row>
      <xdr:rowOff>122040</xdr:rowOff>
    </xdr:to>
    <xdr:graphicFrame>
      <xdr:nvGraphicFramePr>
        <xdr:cNvPr id="0" name="Chart 1"/>
        <xdr:cNvGraphicFramePr/>
      </xdr:nvGraphicFramePr>
      <xdr:xfrm>
        <a:off x="0" y="5143680"/>
        <a:ext cx="341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160560</xdr:rowOff>
    </xdr:from>
    <xdr:to>
      <xdr:col>14</xdr:col>
      <xdr:colOff>473040</xdr:colOff>
      <xdr:row>15</xdr:row>
      <xdr:rowOff>35280</xdr:rowOff>
    </xdr:to>
    <xdr:graphicFrame>
      <xdr:nvGraphicFramePr>
        <xdr:cNvPr id="1" name="Chart 1"/>
        <xdr:cNvGraphicFramePr/>
      </xdr:nvGraphicFramePr>
      <xdr:xfrm>
        <a:off x="5263560" y="38088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8"/>
  </cols>
  <sheetData>
    <row r="1" customFormat="false" ht="38.8" hidden="false" customHeight="false" outlineLevel="0" collapsed="false">
      <c r="A1" s="1" t="s">
        <v>0</v>
      </c>
    </row>
    <row r="2" customFormat="false" ht="15" hidden="false" customHeight="false" outlineLevel="0" collapsed="false">
      <c r="A2" s="2" t="s">
        <v>1</v>
      </c>
    </row>
    <row r="3" customFormat="false" ht="43.5" hidden="false" customHeight="true" outlineLevel="0" collapsed="false">
      <c r="A3" s="3" t="s">
        <v>2</v>
      </c>
      <c r="B3" s="4" t="n">
        <f aca="false">ボード!B5</f>
        <v>118000</v>
      </c>
    </row>
    <row r="4" customFormat="false" ht="43.5" hidden="false" customHeight="true" outlineLevel="0" collapsed="false">
      <c r="A4" s="3" t="s">
        <v>3</v>
      </c>
      <c r="B4" s="5" t="n">
        <f aca="false">ボード!B6</f>
        <v>1000000</v>
      </c>
    </row>
    <row r="5" customFormat="false" ht="43.5" hidden="false" customHeight="true" outlineLevel="0" collapsed="false">
      <c r="A5" s="3" t="s">
        <v>4</v>
      </c>
      <c r="B5" s="6" t="n">
        <f aca="false">ボード!B7</f>
        <v>0.118</v>
      </c>
    </row>
    <row r="6" customFormat="false" ht="43.5" hidden="false" customHeight="true" outlineLevel="0" collapsed="false">
      <c r="A6" s="3" t="s">
        <v>5</v>
      </c>
      <c r="B6" s="3" t="str">
        <f aca="false">ボード!B8</f>
        <v>計画より遅れ</v>
      </c>
    </row>
    <row r="7" customFormat="false" ht="43.5" hidden="false" customHeight="true" outlineLevel="0" collapsed="false">
      <c r="A7" s="3" t="s">
        <v>6</v>
      </c>
      <c r="B7" s="4" t="n">
        <f aca="false">ボード!B10</f>
        <v>32624.2807258581</v>
      </c>
    </row>
    <row r="8" customFormat="false" ht="43.5" hidden="false" customHeight="true" outlineLevel="0" collapsed="false">
      <c r="A8" s="3" t="s">
        <v>7</v>
      </c>
      <c r="B8" s="5" t="n">
        <f aca="false">ボード!B12</f>
        <v>988088.717077351</v>
      </c>
    </row>
    <row r="9" customFormat="false" ht="43.5" hidden="false" customHeight="true" outlineLevel="0" collapsed="false">
      <c r="A9" s="3" t="s">
        <v>8</v>
      </c>
      <c r="B9" s="3" t="str">
        <f aca="false">ボード!B13</f>
        <v>OK</v>
      </c>
    </row>
    <row r="10" customFormat="false" ht="55.5" hidden="false" customHeight="true" outlineLevel="0" collapsed="false">
      <c r="A10" s="7" t="s">
        <v>9</v>
      </c>
      <c r="B10" s="7"/>
    </row>
    <row r="26" customFormat="false" ht="15" hidden="false" customHeight="false" outlineLevel="0" collapsed="false">
      <c r="A26" s="2" t="s">
        <v>10</v>
      </c>
    </row>
    <row r="27" customFormat="false" ht="17.15" hidden="false" customHeight="false" outlineLevel="0" collapsed="false">
      <c r="A27" s="8" t="s">
        <v>11</v>
      </c>
      <c r="B27" s="9" t="n">
        <v>30500</v>
      </c>
    </row>
    <row r="28" customFormat="false" ht="17.15" hidden="false" customHeight="false" outlineLevel="0" collapsed="false">
      <c r="A28" s="8" t="s">
        <v>12</v>
      </c>
      <c r="B28" s="9" t="n">
        <v>61000</v>
      </c>
    </row>
    <row r="29" customFormat="false" ht="17.15" hidden="false" customHeight="false" outlineLevel="0" collapsed="false">
      <c r="A29" s="8" t="s">
        <v>13</v>
      </c>
      <c r="B29" s="9" t="n">
        <v>90000</v>
      </c>
    </row>
    <row r="30" customFormat="false" ht="17.15" hidden="false" customHeight="false" outlineLevel="0" collapsed="false">
      <c r="A30" s="8" t="s">
        <v>14</v>
      </c>
      <c r="B30" s="9" t="n">
        <v>118000</v>
      </c>
    </row>
    <row r="31" customFormat="false" ht="17.15" hidden="false" customHeight="false" outlineLevel="0" collapsed="false">
      <c r="A31" s="8" t="s">
        <v>15</v>
      </c>
      <c r="B31" s="9"/>
    </row>
    <row r="32" customFormat="false" ht="17.15" hidden="false" customHeight="false" outlineLevel="0" collapsed="false">
      <c r="A32" s="8" t="s">
        <v>16</v>
      </c>
      <c r="B32" s="9"/>
    </row>
    <row r="33" customFormat="false" ht="17.15" hidden="false" customHeight="false" outlineLevel="0" collapsed="false">
      <c r="A33" s="8" t="s">
        <v>17</v>
      </c>
      <c r="B33" s="9"/>
    </row>
    <row r="34" customFormat="false" ht="17.15" hidden="false" customHeight="false" outlineLevel="0" collapsed="false">
      <c r="A34" s="8" t="s">
        <v>18</v>
      </c>
      <c r="B34" s="9"/>
    </row>
    <row r="35" customFormat="false" ht="17.15" hidden="false" customHeight="false" outlineLevel="0" collapsed="false">
      <c r="A35" s="8" t="s">
        <v>19</v>
      </c>
      <c r="B35" s="9"/>
    </row>
    <row r="36" customFormat="false" ht="17.15" hidden="false" customHeight="false" outlineLevel="0" collapsed="false">
      <c r="A36" s="8" t="s">
        <v>20</v>
      </c>
      <c r="B36" s="9"/>
    </row>
    <row r="37" customFormat="false" ht="17.15" hidden="false" customHeight="false" outlineLevel="0" collapsed="false">
      <c r="A37" s="8" t="s">
        <v>21</v>
      </c>
      <c r="B37" s="9"/>
    </row>
    <row r="38" customFormat="false" ht="17.15" hidden="false" customHeight="false" outlineLevel="0" collapsed="false">
      <c r="A38" s="8" t="s">
        <v>22</v>
      </c>
      <c r="B38" s="9"/>
    </row>
    <row r="39" customFormat="false" ht="17.15" hidden="false" customHeight="false" outlineLevel="0" collapsed="false">
      <c r="A39" s="8" t="s">
        <v>23</v>
      </c>
      <c r="B39" s="9"/>
    </row>
    <row r="40" customFormat="false" ht="17.15" hidden="false" customHeight="false" outlineLevel="0" collapsed="false">
      <c r="A40" s="8" t="s">
        <v>24</v>
      </c>
      <c r="B40" s="9"/>
    </row>
    <row r="41" customFormat="false" ht="17.15" hidden="false" customHeight="false" outlineLevel="0" collapsed="false">
      <c r="A41" s="8" t="s">
        <v>25</v>
      </c>
      <c r="B41" s="9"/>
    </row>
    <row r="42" customFormat="false" ht="17.15" hidden="false" customHeight="false" outlineLevel="0" collapsed="false">
      <c r="A42" s="8" t="s">
        <v>26</v>
      </c>
      <c r="B42" s="9"/>
    </row>
    <row r="43" customFormat="false" ht="17.15" hidden="false" customHeight="false" outlineLevel="0" collapsed="false">
      <c r="A43" s="8" t="s">
        <v>27</v>
      </c>
      <c r="B43" s="9"/>
    </row>
    <row r="44" customFormat="false" ht="17.15" hidden="false" customHeight="false" outlineLevel="0" collapsed="false">
      <c r="A44" s="8" t="s">
        <v>28</v>
      </c>
      <c r="B44" s="9"/>
    </row>
    <row r="45" customFormat="false" ht="17.15" hidden="false" customHeight="false" outlineLevel="0" collapsed="false">
      <c r="A45" s="8" t="s">
        <v>29</v>
      </c>
      <c r="B45" s="9"/>
    </row>
    <row r="46" customFormat="false" ht="17.15" hidden="false" customHeight="false" outlineLevel="0" collapsed="false">
      <c r="A46" s="8" t="s">
        <v>30</v>
      </c>
      <c r="B46" s="9"/>
    </row>
    <row r="47" customFormat="false" ht="17.15" hidden="false" customHeight="false" outlineLevel="0" collapsed="false">
      <c r="A47" s="8" t="s">
        <v>31</v>
      </c>
      <c r="B47" s="9"/>
    </row>
    <row r="48" customFormat="false" ht="17.15" hidden="false" customHeight="false" outlineLevel="0" collapsed="false">
      <c r="A48" s="8" t="s">
        <v>32</v>
      </c>
      <c r="B48" s="9"/>
    </row>
    <row r="49" customFormat="false" ht="17.15" hidden="false" customHeight="false" outlineLevel="0" collapsed="false">
      <c r="A49" s="8" t="s">
        <v>33</v>
      </c>
      <c r="B49" s="9"/>
    </row>
    <row r="50" customFormat="false" ht="17.15" hidden="false" customHeight="false" outlineLevel="0" collapsed="false">
      <c r="A50" s="8" t="s">
        <v>34</v>
      </c>
      <c r="B50" s="9"/>
    </row>
    <row r="51" customFormat="false" ht="17.15" hidden="false" customHeight="false" outlineLevel="0" collapsed="false">
      <c r="A51" s="8" t="s">
        <v>35</v>
      </c>
      <c r="B51" s="9"/>
    </row>
    <row r="52" customFormat="false" ht="17.15" hidden="false" customHeight="false" outlineLevel="0" collapsed="false">
      <c r="A52" s="8" t="s">
        <v>36</v>
      </c>
      <c r="B52" s="9"/>
    </row>
    <row r="53" customFormat="false" ht="17.15" hidden="false" customHeight="false" outlineLevel="0" collapsed="false">
      <c r="A53" s="8" t="s">
        <v>37</v>
      </c>
      <c r="B53" s="9"/>
    </row>
    <row r="54" customFormat="false" ht="17.15" hidden="false" customHeight="false" outlineLevel="0" collapsed="false">
      <c r="A54" s="8" t="s">
        <v>38</v>
      </c>
      <c r="B54" s="9"/>
    </row>
    <row r="55" customFormat="false" ht="17.15" hidden="false" customHeight="false" outlineLevel="0" collapsed="false">
      <c r="A55" s="8" t="s">
        <v>39</v>
      </c>
      <c r="B55" s="9"/>
    </row>
    <row r="56" customFormat="false" ht="17.15" hidden="false" customHeight="false" outlineLevel="0" collapsed="false">
      <c r="A56" s="8" t="s">
        <v>40</v>
      </c>
      <c r="B56" s="9"/>
    </row>
  </sheetData>
  <mergeCells count="1">
    <mergeCell ref="A10:B10"/>
  </mergeCells>
  <dataValidations count="1">
    <dataValidation allowBlank="true" error="0以上の数字を入れてください" errorStyle="stop" errorTitle="入力の確認" operator="greaterThanOrEqual" showDropDown="false" showErrorMessage="true" showInputMessage="false" sqref="B27:B56"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0" t="s">
        <v>41</v>
      </c>
    </row>
    <row r="3" customFormat="false" ht="17.15" hidden="false" customHeight="false" outlineLevel="0" collapsed="false">
      <c r="A3" s="11" t="s">
        <v>42</v>
      </c>
    </row>
    <row r="4" customFormat="false" ht="15" hidden="false" customHeight="false" outlineLevel="0" collapsed="false">
      <c r="A4" s="11" t="s">
        <v>43</v>
      </c>
    </row>
    <row r="5" customFormat="false" ht="17.15" hidden="false" customHeight="false" outlineLevel="0" collapsed="false">
      <c r="A5" s="11" t="s">
        <v>44</v>
      </c>
    </row>
    <row r="7" customFormat="false" ht="15" hidden="false" customHeight="false" outlineLevel="0" collapsed="false">
      <c r="A7" s="2" t="s">
        <v>45</v>
      </c>
    </row>
    <row r="8" customFormat="false" ht="15" hidden="false" customHeight="false" outlineLevel="0" collapsed="false">
      <c r="A8" s="12" t="s">
        <v>46</v>
      </c>
    </row>
    <row r="9" customFormat="false" ht="15" hidden="false" customHeight="false" outlineLevel="0" collapsed="false">
      <c r="A9" s="13" t="s">
        <v>47</v>
      </c>
    </row>
    <row r="10" customFormat="false" ht="15" hidden="false" customHeight="false" outlineLevel="0" collapsed="false">
      <c r="A10" s="11" t="s">
        <v>48</v>
      </c>
    </row>
    <row r="11" customFormat="false" ht="15" hidden="false" customHeight="false" outlineLevel="0" collapsed="false">
      <c r="A11" s="11" t="s">
        <v>49</v>
      </c>
    </row>
    <row r="13" customFormat="false" ht="17.15" hidden="false" customHeight="false" outlineLevel="0" collapsed="false">
      <c r="A13" s="11"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s>
  <sheetData>
    <row r="1" customFormat="false" ht="15" hidden="false" customHeight="false" outlineLevel="0" collapsed="false">
      <c r="A1" s="2" t="s">
        <v>51</v>
      </c>
    </row>
    <row r="2" customFormat="false" ht="17.15" hidden="false" customHeight="false" outlineLevel="0" collapsed="false">
      <c r="A2" s="3" t="s">
        <v>52</v>
      </c>
      <c r="B2" s="9" t="n">
        <v>0</v>
      </c>
    </row>
    <row r="3" customFormat="false" ht="17.15" hidden="false" customHeight="false" outlineLevel="0" collapsed="false">
      <c r="A3" s="3" t="s">
        <v>53</v>
      </c>
      <c r="B3" s="9" t="n">
        <v>1000000</v>
      </c>
    </row>
    <row r="4" customFormat="false" ht="17.15" hidden="false" customHeight="false" outlineLevel="0" collapsed="false">
      <c r="A4" s="3" t="s">
        <v>54</v>
      </c>
      <c r="B4" s="14" t="n">
        <v>30</v>
      </c>
    </row>
    <row r="5" customFormat="false" ht="17.15" hidden="false" customHeight="false" outlineLevel="0" collapsed="false">
      <c r="A5" s="3" t="s">
        <v>55</v>
      </c>
      <c r="B5" s="15" t="n">
        <v>0.03</v>
      </c>
    </row>
    <row r="6" customFormat="false" ht="17.15" hidden="false" customHeight="false" outlineLevel="0" collapsed="false">
      <c r="A6" s="3" t="s">
        <v>56</v>
      </c>
      <c r="B6" s="15" t="n">
        <v>0.001</v>
      </c>
    </row>
    <row r="7" customFormat="false" ht="17.15" hidden="false" customHeight="false" outlineLevel="0" collapsed="false">
      <c r="A7" s="3" t="s">
        <v>57</v>
      </c>
      <c r="B7" s="16" t="n">
        <f aca="false">(B5-B6)/12</f>
        <v>0.00241666666666667</v>
      </c>
    </row>
    <row r="8" customFormat="false" ht="17.15" hidden="false" customHeight="false" outlineLevel="0" collapsed="false">
      <c r="A8" s="3" t="s">
        <v>58</v>
      </c>
      <c r="B8" s="17" t="n">
        <f aca="false">IF(B7=0,(B3-B2)/B4,PMT(B7,B4,B2,-B3))</f>
        <v>32179.8433803691</v>
      </c>
    </row>
  </sheetData>
  <dataValidations count="1">
    <dataValidation allowBlank="true" error="0以上の数字を入れてください" errorStyle="stop" errorTitle="入力の確認" operator="greaterThanOrEqual" showDropDown="false" showErrorMessage="true" showInputMessage="false" sqref="B2:B4"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8"/>
    <col collapsed="false" customWidth="true" hidden="false" outlineLevel="0" max="4" min="4" style="0" width="22"/>
  </cols>
  <sheetData>
    <row r="1" customFormat="false" ht="31.5" hidden="false" customHeight="true" outlineLevel="0" collapsed="false">
      <c r="A1" s="18" t="s">
        <v>59</v>
      </c>
      <c r="B1" s="18" t="s">
        <v>60</v>
      </c>
      <c r="C1" s="18" t="s">
        <v>61</v>
      </c>
      <c r="D1" s="18" t="s">
        <v>62</v>
      </c>
    </row>
    <row r="2" customFormat="false" ht="15" hidden="false" customHeight="false" outlineLevel="0" collapsed="false">
      <c r="A2" s="19" t="n">
        <v>1</v>
      </c>
      <c r="B2" s="17" t="n">
        <f aca="false">IF(前提!$B$7=0,前提!$B$2+前提!$B$8*A2,FV(前提!$B$7,A2,-前提!$B$8,-前提!$B$2))</f>
        <v>32179.84338037</v>
      </c>
      <c r="C2" s="17" t="n">
        <f aca="false">IF(スマホ!B27="","",スマホ!B27)</f>
        <v>30500</v>
      </c>
      <c r="D2" s="17" t="str">
        <f aca="false">IFERROR(IF(OR(ボード!$B$4="",ボード!$B$10="",A2&lt;=ボード!$B$4),"",IF(前提!$B$7=0,ボード!$B$5+ボード!$B$10*(A2-ボード!$B$4),FV(前提!$B$7,A2-ボード!$B$4,-ボード!$B$10,-ボード!$B$5))),"")</f>
        <v/>
      </c>
    </row>
    <row r="3" customFormat="false" ht="15" hidden="false" customHeight="false" outlineLevel="0" collapsed="false">
      <c r="A3" s="19" t="n">
        <v>2</v>
      </c>
      <c r="B3" s="17" t="n">
        <f aca="false">IF(前提!$B$7=0,前提!$B$2+前提!$B$8*A3,FV(前提!$B$7,A3,-前提!$B$8,-前提!$B$2))</f>
        <v>64437.4547155767</v>
      </c>
      <c r="C3" s="17" t="n">
        <f aca="false">IF(スマホ!B28="","",スマホ!B28)</f>
        <v>61000</v>
      </c>
      <c r="D3" s="17" t="str">
        <f aca="false">IFERROR(IF(OR(ボード!$B$4="",ボード!$B$10="",A3&lt;=ボード!$B$4),"",IF(前提!$B$7=0,ボード!$B$5+ボード!$B$10*(A3-ボード!$B$4),FV(前提!$B$7,A3-ボード!$B$4,-ボード!$B$10,-ボード!$B$5))),"")</f>
        <v/>
      </c>
    </row>
    <row r="4" customFormat="false" ht="15" hidden="false" customHeight="false" outlineLevel="0" collapsed="false">
      <c r="A4" s="19" t="n">
        <v>3</v>
      </c>
      <c r="B4" s="17" t="n">
        <f aca="false">IF(前提!$B$7=0,前提!$B$2+前提!$B$8*A4,FV(前提!$B$7,A4,-前提!$B$8,-前提!$B$2))</f>
        <v>96773.0219448413</v>
      </c>
      <c r="C4" s="17" t="n">
        <f aca="false">IF(スマホ!B29="","",スマホ!B29)</f>
        <v>90000</v>
      </c>
      <c r="D4" s="17" t="str">
        <f aca="false">IFERROR(IF(OR(ボード!$B$4="",ボード!$B$10="",A4&lt;=ボード!$B$4),"",IF(前提!$B$7=0,ボード!$B$5+ボード!$B$10*(A4-ボード!$B$4),FV(前提!$B$7,A4-ボード!$B$4,-ボード!$B$10,-ボード!$B$5))),"")</f>
        <v/>
      </c>
    </row>
    <row r="5" customFormat="false" ht="15" hidden="false" customHeight="false" outlineLevel="0" collapsed="false">
      <c r="A5" s="19" t="n">
        <v>4</v>
      </c>
      <c r="B5" s="17" t="n">
        <f aca="false">IF(前提!$B$7=0,前提!$B$2+前提!$B$8*A5,FV(前提!$B$7,A5,-前提!$B$8,-前提!$B$2))</f>
        <v>129186.733461579</v>
      </c>
      <c r="C5" s="17" t="n">
        <f aca="false">IF(スマホ!B30="","",スマホ!B30)</f>
        <v>118000</v>
      </c>
      <c r="D5" s="17" t="str">
        <f aca="false">IFERROR(IF(OR(ボード!$B$4="",ボード!$B$10="",A5&lt;=ボード!$B$4),"",IF(前提!$B$7=0,ボード!$B$5+ボード!$B$10*(A5-ボード!$B$4),FV(前提!$B$7,A5-ボード!$B$4,-ボード!$B$10,-ボード!$B$5))),"")</f>
        <v/>
      </c>
    </row>
    <row r="6" customFormat="false" ht="15" hidden="false" customHeight="false" outlineLevel="0" collapsed="false">
      <c r="A6" s="19" t="n">
        <v>5</v>
      </c>
      <c r="B6" s="17" t="n">
        <f aca="false">IF(前提!$B$7=0,前提!$B$2+前提!$B$8*A6,FV(前提!$B$7,A6,-前提!$B$8,-前提!$B$2))</f>
        <v>161678.778114479</v>
      </c>
      <c r="C6" s="17" t="str">
        <f aca="false">IF(スマホ!B31="","",スマホ!B31)</f>
        <v/>
      </c>
      <c r="D6" s="17" t="n">
        <f aca="false">IFERROR(IF(OR(ボード!$B$4="",ボード!$B$10="",A6&lt;=ボード!$B$4),"",IF(前提!$B$7=0,ボード!$B$5+ボード!$B$10*(A6-ボード!$B$4),FV(前提!$B$7,A6-ボード!$B$4,-ボード!$B$10,-ボード!$B$5))),"")</f>
        <v>150909.447392526</v>
      </c>
    </row>
    <row r="7" customFormat="false" ht="15" hidden="false" customHeight="false" outlineLevel="0" collapsed="false">
      <c r="A7" s="19" t="n">
        <v>6</v>
      </c>
      <c r="B7" s="17" t="n">
        <f aca="false">IF(前提!$B$7=0,前提!$B$2+前提!$B$8*A7,FV(前提!$B$7,A7,-前提!$B$8,-前提!$B$2))</f>
        <v>194249.345208628</v>
      </c>
      <c r="C7" s="17" t="str">
        <f aca="false">IF(スマホ!B32="","",スマホ!B32)</f>
        <v/>
      </c>
      <c r="D7" s="17" t="n">
        <f aca="false">IFERROR(IF(OR(ボード!$B$4="",ボード!$B$10="",A7&lt;=ボード!$B$4),"",IF(前提!$B$7=0,ボード!$B$5+ボード!$B$10*(A7-ボード!$B$4),FV(前提!$B$7,A7-ボード!$B$4,-ボード!$B$10,-ボード!$B$5))),"")</f>
        <v>183898.425949584</v>
      </c>
    </row>
    <row r="8" customFormat="false" ht="15" hidden="false" customHeight="false" outlineLevel="0" collapsed="false">
      <c r="A8" s="19" t="n">
        <v>7</v>
      </c>
      <c r="B8" s="17" t="n">
        <f aca="false">IF(前提!$B$7=0,前提!$B$2+前提!$B$8*A8,FV(前提!$B$7,A8,-前提!$B$8,-前提!$B$2))</f>
        <v>226898.624506586</v>
      </c>
      <c r="C8" s="17" t="str">
        <f aca="false">IF(スマホ!B33="","",スマホ!B33)</f>
        <v/>
      </c>
      <c r="D8" s="17" t="n">
        <f aca="false">IFERROR(IF(OR(ボード!$B$4="",ボード!$B$10="",A8&lt;=ボード!$B$4),"",IF(前提!$B$7=0,ボード!$B$5+ボード!$B$10*(A8-ボード!$B$4),FV(前提!$B$7,A8-ボード!$B$4,-ボード!$B$10,-ボード!$B$5))),"")</f>
        <v>216967.127871486</v>
      </c>
    </row>
    <row r="9" customFormat="false" ht="15" hidden="false" customHeight="false" outlineLevel="0" collapsed="false">
      <c r="A9" s="19" t="n">
        <v>8</v>
      </c>
      <c r="B9" s="17" t="n">
        <f aca="false">IF(前提!$B$7=0,前提!$B$2+前提!$B$8*A9,FV(前提!$B$7,A9,-前提!$B$8,-前提!$B$2))</f>
        <v>259626.806229513</v>
      </c>
      <c r="C9" s="17" t="str">
        <f aca="false">IF(スマホ!B34="","",スマホ!B34)</f>
        <v/>
      </c>
      <c r="D9" s="17" t="n">
        <f aca="false">IFERROR(IF(OR(ボード!$B$4="",ボード!$B$10="",A9&lt;=ボード!$B$4),"",IF(前提!$B$7=0,ボード!$B$5+ボード!$B$10*(A9-ボード!$B$4),FV(前提!$B$7,A9-ボード!$B$4,-ボード!$B$10,-ボード!$B$5))),"")</f>
        <v>250115.745823035</v>
      </c>
    </row>
    <row r="10" customFormat="false" ht="15" hidden="false" customHeight="false" outlineLevel="0" collapsed="false">
      <c r="A10" s="19" t="n">
        <v>9</v>
      </c>
      <c r="B10" s="17" t="n">
        <f aca="false">IF(前提!$B$7=0,前提!$B$2+前提!$B$8*A10,FV(前提!$B$7,A10,-前提!$B$8,-前提!$B$2))</f>
        <v>292434.081058269</v>
      </c>
      <c r="C10" s="17" t="str">
        <f aca="false">IF(スマホ!B35="","",スマホ!B35)</f>
        <v/>
      </c>
      <c r="D10" s="17" t="n">
        <f aca="false">IFERROR(IF(OR(ボード!$B$4="",ボード!$B$10="",A10&lt;=ボード!$B$4),"",IF(前提!$B$7=0,ボード!$B$5+ボード!$B$10*(A10-ボード!$B$4),FV(前提!$B$7,A10-ボード!$B$4,-ボード!$B$10,-ボード!$B$5))),"")</f>
        <v>283344.472934632</v>
      </c>
    </row>
    <row r="11" customFormat="false" ht="15" hidden="false" customHeight="false" outlineLevel="0" collapsed="false">
      <c r="A11" s="19" t="n">
        <v>10</v>
      </c>
      <c r="B11" s="17" t="n">
        <f aca="false">IF(前提!$B$7=0,前提!$B$2+前提!$B$8*A11,FV(前提!$B$7,A11,-前提!$B$8,-前提!$B$2))</f>
        <v>325320.640134532</v>
      </c>
      <c r="C11" s="17" t="str">
        <f aca="false">IF(スマホ!B36="","",スマホ!B36)</f>
        <v/>
      </c>
      <c r="D11" s="17" t="n">
        <f aca="false">IFERROR(IF(OR(ボード!$B$4="",ボード!$B$10="",A11&lt;=ボード!$B$4),"",IF(前提!$B$7=0,ボード!$B$5+ボード!$B$10*(A11-ボード!$B$4),FV(前提!$B$7,A11-ボード!$B$4,-ボード!$B$10,-ボード!$B$5))),"")</f>
        <v>316653.502803418</v>
      </c>
    </row>
    <row r="12" customFormat="false" ht="15" hidden="false" customHeight="false" outlineLevel="0" collapsed="false">
      <c r="A12" s="19" t="n">
        <v>11</v>
      </c>
      <c r="B12" s="17" t="n">
        <f aca="false">IF(前提!$B$7=0,前提!$B$2+前提!$B$8*A12,FV(前提!$B$7,A12,-前提!$B$8,-前提!$B$2))</f>
        <v>358286.675061893</v>
      </c>
      <c r="C12" s="17" t="str">
        <f aca="false">IF(スマホ!B37="","",スマホ!B37)</f>
        <v/>
      </c>
      <c r="D12" s="17" t="n">
        <f aca="false">IFERROR(IF(OR(ボード!$B$4="",ボード!$B$10="",A12&lt;=ボード!$B$4),"",IF(前提!$B$7=0,ボード!$B$5+ボード!$B$10*(A12-ボード!$B$4),FV(前提!$B$7,A12-ボード!$B$4,-ボード!$B$10,-ボード!$B$5))),"")</f>
        <v>350043.029494386</v>
      </c>
    </row>
    <row r="13" customFormat="false" ht="15" hidden="false" customHeight="false" outlineLevel="0" collapsed="false">
      <c r="A13" s="19" t="n">
        <v>12</v>
      </c>
      <c r="B13" s="17" t="n">
        <f aca="false">IF(前提!$B$7=0,前提!$B$2+前提!$B$8*A13,FV(前提!$B$7,A13,-前提!$B$8,-前提!$B$2))</f>
        <v>391332.377906997</v>
      </c>
      <c r="C13" s="17" t="str">
        <f aca="false">IF(スマホ!B38="","",スマホ!B38)</f>
        <v/>
      </c>
      <c r="D13" s="17" t="n">
        <f aca="false">IFERROR(IF(OR(ボード!$B$4="",ボード!$B$10="",A13&lt;=ボード!$B$4),"",IF(前提!$B$7=0,ボード!$B$5+ボード!$B$10*(A13-ボード!$B$4),FV(前提!$B$7,A13-ボード!$B$4,-ボード!$B$10,-ボード!$B$5))),"")</f>
        <v>383513.247541523</v>
      </c>
    </row>
    <row r="14" customFormat="false" ht="15" hidden="false" customHeight="false" outlineLevel="0" collapsed="false">
      <c r="A14" s="19" t="n">
        <v>13</v>
      </c>
      <c r="B14" s="17" t="n">
        <f aca="false">IF(前提!$B$7=0,前提!$B$2+前提!$B$8*A14,FV(前提!$B$7,A14,-前提!$B$8,-前提!$B$2))</f>
        <v>424457.941200641</v>
      </c>
      <c r="C14" s="17" t="str">
        <f aca="false">IF(スマホ!B39="","",スマホ!B39)</f>
        <v/>
      </c>
      <c r="D14" s="17" t="n">
        <f aca="false">IFERROR(IF(OR(ボード!$B$4="",ボード!$B$10="",A14&lt;=ボード!$B$4),"",IF(前提!$B$7=0,ボード!$B$5+ボード!$B$10*(A14-ボード!$B$4),FV(前提!$B$7,A14-ボード!$B$4,-ボード!$B$10,-ボード!$B$5))),"")</f>
        <v>417064.351948939</v>
      </c>
    </row>
    <row r="15" customFormat="false" ht="15" hidden="false" customHeight="false" outlineLevel="0" collapsed="false">
      <c r="A15" s="19" t="n">
        <v>14</v>
      </c>
      <c r="B15" s="17" t="n">
        <f aca="false">IF(前提!$B$7=0,前提!$B$2+前提!$B$8*A15,FV(前提!$B$7,A15,-前提!$B$8,-前提!$B$2))</f>
        <v>457663.557938913</v>
      </c>
      <c r="C15" s="17" t="str">
        <f aca="false">IF(スマホ!B40="","",スマホ!B40)</f>
        <v/>
      </c>
      <c r="D15" s="17" t="n">
        <f aca="false">IFERROR(IF(OR(ボード!$B$4="",ボード!$B$10="",A15&lt;=ボード!$B$4),"",IF(前提!$B$7=0,ボード!$B$5+ボード!$B$10*(A15-ボード!$B$4),FV(前提!$B$7,A15-ボード!$B$4,-ボード!$B$10,-ボード!$B$5))),"")</f>
        <v>450696.53819201</v>
      </c>
    </row>
    <row r="16" customFormat="false" ht="15" hidden="false" customHeight="false" outlineLevel="0" collapsed="false">
      <c r="A16" s="19" t="n">
        <v>15</v>
      </c>
      <c r="B16" s="17" t="n">
        <f aca="false">IF(前提!$B$7=0,前提!$B$2+前提!$B$8*A16,FV(前提!$B$7,A16,-前提!$B$8,-前提!$B$2))</f>
        <v>490949.421584303</v>
      </c>
      <c r="C16" s="17" t="str">
        <f aca="false">IF(スマホ!B41="","",スマホ!B41)</f>
        <v/>
      </c>
      <c r="D16" s="17" t="n">
        <f aca="false">IFERROR(IF(OR(ボード!$B$4="",ボード!$B$10="",A16&lt;=ボード!$B$4),"",IF(前提!$B$7=0,ボード!$B$5+ボード!$B$10*(A16-ボード!$B$4),FV(前提!$B$7,A16-ボード!$B$4,-ボード!$B$10,-ボード!$B$5))),"")</f>
        <v>484410.002218498</v>
      </c>
    </row>
    <row r="17" customFormat="false" ht="15" hidden="false" customHeight="false" outlineLevel="0" collapsed="false">
      <c r="A17" s="19" t="n">
        <v>16</v>
      </c>
      <c r="B17" s="17" t="n">
        <f aca="false">IF(前提!$B$7=0,前提!$B$2+前提!$B$8*A17,FV(前提!$B$7,A17,-前提!$B$8,-前提!$B$2))</f>
        <v>524315.726066834</v>
      </c>
      <c r="C17" s="17" t="str">
        <f aca="false">IF(スマホ!B42="","",スマホ!B42)</f>
        <v/>
      </c>
      <c r="D17" s="17" t="n">
        <f aca="false">IFERROR(IF(OR(ボード!$B$4="",ボード!$B$10="",A17&lt;=ボード!$B$4),"",IF(前提!$B$7=0,ボード!$B$5+ボード!$B$10*(A17-ボード!$B$4),FV(前提!$B$7,A17-ボード!$B$4,-ボード!$B$10,-ボード!$B$5))),"")</f>
        <v>518204.940449719</v>
      </c>
    </row>
    <row r="18" customFormat="false" ht="15" hidden="false" customHeight="false" outlineLevel="0" collapsed="false">
      <c r="A18" s="19" t="n">
        <v>17</v>
      </c>
      <c r="B18" s="17" t="n">
        <f aca="false">IF(前提!$B$7=0,前提!$B$2+前提!$B$8*A18,FV(前提!$B$7,A18,-前提!$B$8,-前提!$B$2))</f>
        <v>557762.6657852</v>
      </c>
      <c r="C18" s="17" t="str">
        <f aca="false">IF(スマホ!B43="","",スマホ!B43)</f>
        <v/>
      </c>
      <c r="D18" s="17" t="n">
        <f aca="false">IFERROR(IF(OR(ボード!$B$4="",ボード!$B$10="",A18&lt;=ボード!$B$4),"",IF(前提!$B$7=0,ボード!$B$5+ボード!$B$10*(A18-ボード!$B$4),FV(前提!$B$7,A18-ボード!$B$4,-ボード!$B$10,-ボード!$B$5))),"")</f>
        <v>552081.549781664</v>
      </c>
    </row>
    <row r="19" customFormat="false" ht="15" hidden="false" customHeight="false" outlineLevel="0" collapsed="false">
      <c r="A19" s="19" t="n">
        <v>18</v>
      </c>
      <c r="B19" s="17" t="n">
        <f aca="false">IF(前提!$B$7=0,前提!$B$2+前提!$B$8*A19,FV(前提!$B$7,A19,-前提!$B$8,-前提!$B$2))</f>
        <v>591290.435607884</v>
      </c>
      <c r="C19" s="17" t="str">
        <f aca="false">IF(スマホ!B44="","",スマホ!B44)</f>
        <v/>
      </c>
      <c r="D19" s="17" t="n">
        <f aca="false">IFERROR(IF(OR(ボード!$B$4="",ボード!$B$10="",A19&lt;=ボード!$B$4),"",IF(前提!$B$7=0,ボード!$B$5+ボード!$B$10*(A19-ボード!$B$4),FV(前提!$B$7,A19-ボード!$B$4,-ボード!$B$10,-ボード!$B$5))),"")</f>
        <v>586040.027586163</v>
      </c>
    </row>
    <row r="20" customFormat="false" ht="15" hidden="false" customHeight="false" outlineLevel="0" collapsed="false">
      <c r="A20" s="19" t="n">
        <v>19</v>
      </c>
      <c r="B20" s="17" t="n">
        <f aca="false">IF(前提!$B$7=0,前提!$B$2+前提!$B$8*A20,FV(前提!$B$7,A20,-前提!$B$8,-前提!$B$2))</f>
        <v>624899.230874306</v>
      </c>
      <c r="C20" s="17" t="str">
        <f aca="false">IF(スマホ!B45="","",スマホ!B45)</f>
        <v/>
      </c>
      <c r="D20" s="17" t="n">
        <f aca="false">IFERROR(IF(OR(ボード!$B$4="",ボード!$B$10="",A20&lt;=ボード!$B$4),"",IF(前提!$B$7=0,ボード!$B$5+ボード!$B$10*(A20-ボード!$B$4),FV(前提!$B$7,A20-ボード!$B$4,-ボード!$B$10,-ボード!$B$5))),"")</f>
        <v>620080.571712022</v>
      </c>
    </row>
    <row r="21" customFormat="false" ht="15" hidden="false" customHeight="false" outlineLevel="0" collapsed="false">
      <c r="A21" s="19" t="n">
        <v>20</v>
      </c>
      <c r="B21" s="17" t="n">
        <f aca="false">IF(前提!$B$7=0,前提!$B$2+前提!$B$8*A21,FV(前提!$B$7,A21,-前提!$B$8,-前提!$B$2))</f>
        <v>658589.247395956</v>
      </c>
      <c r="C21" s="17" t="str">
        <f aca="false">IF(スマホ!B46="","",スマホ!B46)</f>
        <v/>
      </c>
      <c r="D21" s="17" t="n">
        <f aca="false">IFERROR(IF(OR(ボード!$B$4="",ボード!$B$10="",A21&lt;=ボード!$B$4),"",IF(前提!$B$7=0,ボード!$B$5+ボード!$B$10*(A21-ボード!$B$4),FV(前提!$B$7,A21-ボード!$B$4,-ボード!$B$10,-ボード!$B$5))),"")</f>
        <v>654203.380486184</v>
      </c>
    </row>
    <row r="22" customFormat="false" ht="15" hidden="false" customHeight="false" outlineLevel="0" collapsed="false">
      <c r="A22" s="19" t="n">
        <v>21</v>
      </c>
      <c r="B22" s="17" t="n">
        <f aca="false">IF(前提!$B$7=0,前提!$B$2+前提!$B$8*A22,FV(前提!$B$7,A22,-前提!$B$8,-前提!$B$2))</f>
        <v>692360.681457534</v>
      </c>
      <c r="C22" s="17" t="str">
        <f aca="false">IF(スマホ!B47="","",スマホ!B47)</f>
        <v/>
      </c>
      <c r="D22" s="17" t="n">
        <f aca="false">IFERROR(IF(OR(ボード!$B$4="",ボード!$B$10="",A22&lt;=ボード!$B$4),"",IF(前提!$B$7=0,ボード!$B$5+ボード!$B$10*(A22-ボード!$B$4),FV(前提!$B$7,A22-ボード!$B$4,-ボード!$B$10,-ボード!$B$5))),"")</f>
        <v>688408.652714886</v>
      </c>
    </row>
    <row r="23" customFormat="false" ht="15" hidden="false" customHeight="false" outlineLevel="0" collapsed="false">
      <c r="A23" s="19" t="n">
        <v>22</v>
      </c>
      <c r="B23" s="17" t="n">
        <f aca="false">IF(前提!$B$7=0,前提!$B$2+前提!$B$8*A23,FV(前提!$B$7,A23,-前提!$B$8,-前提!$B$2))</f>
        <v>726213.729818092</v>
      </c>
      <c r="C23" s="17" t="str">
        <f aca="false">IF(スマホ!B48="","",スマホ!B48)</f>
        <v/>
      </c>
      <c r="D23" s="17" t="n">
        <f aca="false">IFERROR(IF(OR(ボード!$B$4="",ボード!$B$10="",A23&lt;=ボード!$B$4),"",IF(前提!$B$7=0,ボード!$B$5+ボード!$B$10*(A23-ボード!$B$4),FV(前提!$B$7,A23-ボード!$B$4,-ボード!$B$10,-ボード!$B$5))),"")</f>
        <v>722696.587684805</v>
      </c>
    </row>
    <row r="24" customFormat="false" ht="15" hidden="false" customHeight="false" outlineLevel="0" collapsed="false">
      <c r="A24" s="19" t="n">
        <v>23</v>
      </c>
      <c r="B24" s="17" t="n">
        <f aca="false">IF(前提!$B$7=0,前提!$B$2+前提!$B$8*A24,FV(前提!$B$7,A24,-前提!$B$8,-前提!$B$2))</f>
        <v>760148.589712189</v>
      </c>
      <c r="C24" s="17" t="str">
        <f aca="false">IF(スマホ!B49="","",スマホ!B49)</f>
        <v/>
      </c>
      <c r="D24" s="17" t="n">
        <f aca="false">IFERROR(IF(OR(ボード!$B$4="",ボード!$B$10="",A24&lt;=ボード!$B$4),"",IF(前提!$B$7=0,ボード!$B$5+ボード!$B$10*(A24-ボード!$B$4),FV(前提!$B$7,A24-ボード!$B$4,-ボード!$B$10,-ボード!$B$5))),"")</f>
        <v>757067.385164236</v>
      </c>
    </row>
    <row r="25" customFormat="false" ht="15" hidden="false" customHeight="false" outlineLevel="0" collapsed="false">
      <c r="A25" s="19" t="n">
        <v>24</v>
      </c>
      <c r="B25" s="17" t="n">
        <f aca="false">IF(前提!$B$7=0,前提!$B$2+前提!$B$8*A25,FV(前提!$B$7,A25,-前提!$B$8,-前提!$B$2))</f>
        <v>794165.45885103</v>
      </c>
      <c r="C25" s="17" t="str">
        <f aca="false">IF(スマホ!B50="","",スマホ!B50)</f>
        <v/>
      </c>
      <c r="D25" s="17" t="n">
        <f aca="false">IFERROR(IF(OR(ボード!$B$4="",ボード!$B$10="",A25&lt;=ボード!$B$4),"",IF(前提!$B$7=0,ボード!$B$5+ボード!$B$10*(A25-ボード!$B$4),FV(前提!$B$7,A25-ボード!$B$4,-ボード!$B$10,-ボード!$B$5))),"")</f>
        <v>791521.245404242</v>
      </c>
    </row>
    <row r="26" customFormat="false" ht="15" hidden="false" customHeight="false" outlineLevel="0" collapsed="false">
      <c r="A26" s="19" t="n">
        <v>25</v>
      </c>
      <c r="B26" s="17" t="n">
        <f aca="false">IF(前提!$B$7=0,前提!$B$2+前提!$B$8*A26,FV(前提!$B$7,A26,-前提!$B$8,-前提!$B$2))</f>
        <v>828264.535423623</v>
      </c>
      <c r="C26" s="17" t="str">
        <f aca="false">IF(スマホ!B51="","",スマホ!B51)</f>
        <v/>
      </c>
      <c r="D26" s="17" t="n">
        <f aca="false">IFERROR(IF(OR(ボード!$B$4="",ボード!$B$10="",A26&lt;=ボード!$B$4),"",IF(前提!$B$7=0,ボード!$B$5+ボード!$B$10*(A26-ボード!$B$4),FV(前提!$B$7,A26-ボード!$B$4,-ボード!$B$10,-ボード!$B$5))),"")</f>
        <v>826058.369139829</v>
      </c>
    </row>
    <row r="27" customFormat="false" ht="15" hidden="false" customHeight="false" outlineLevel="0" collapsed="false">
      <c r="A27" s="19" t="n">
        <v>26</v>
      </c>
      <c r="B27" s="17" t="n">
        <f aca="false">IF(前提!$B$7=0,前提!$B$2+前提!$B$8*A27,FV(前提!$B$7,A27,-前提!$B$8,-前提!$B$2))</f>
        <v>862446.018097934</v>
      </c>
      <c r="C27" s="17" t="str">
        <f aca="false">IF(スマホ!B52="","",スマホ!B52)</f>
        <v/>
      </c>
      <c r="D27" s="17" t="n">
        <f aca="false">IFERROR(IF(OR(ボード!$B$4="",ボード!$B$10="",A27&lt;=ボード!$B$4),"",IF(前提!$B$7=0,ボード!$B$5+ボード!$B$10*(A27-ボード!$B$4),FV(前提!$B$7,A27-ボード!$B$4,-ボード!$B$10,-ボード!$B$5))),"")</f>
        <v>860678.957591108</v>
      </c>
    </row>
    <row r="28" customFormat="false" ht="15" hidden="false" customHeight="false" outlineLevel="0" collapsed="false">
      <c r="A28" s="19" t="n">
        <v>27</v>
      </c>
      <c r="B28" s="17" t="n">
        <f aca="false">IF(前提!$B$7=0,前提!$B$2+前提!$B$8*A28,FV(前提!$B$7,A28,-前提!$B$8,-前提!$B$2))</f>
        <v>896710.106022042</v>
      </c>
      <c r="C28" s="17" t="str">
        <f aca="false">IF(スマホ!B53="","",スマホ!B53)</f>
        <v/>
      </c>
      <c r="D28" s="17" t="n">
        <f aca="false">IFERROR(IF(OR(ボード!$B$4="",ボード!$B$10="",A28&lt;=ボード!$B$4),"",IF(前提!$B$7=0,ボード!$B$5+ボード!$B$10*(A28-ボード!$B$4),FV(前提!$B$7,A28-ボード!$B$4,-ボード!$B$10,-ボード!$B$5))),"")</f>
        <v>895383.212464479</v>
      </c>
    </row>
    <row r="29" customFormat="false" ht="15" hidden="false" customHeight="false" outlineLevel="0" collapsed="false">
      <c r="A29" s="19" t="n">
        <v>28</v>
      </c>
      <c r="B29" s="17" t="n">
        <f aca="false">IF(前提!$B$7=0,前提!$B$2+前提!$B$8*A29,FV(前提!$B$7,A29,-前提!$B$8,-前提!$B$2))</f>
        <v>931056.998825299</v>
      </c>
      <c r="C29" s="17" t="str">
        <f aca="false">IF(スマホ!B54="","",スマホ!B54)</f>
        <v/>
      </c>
      <c r="D29" s="17" t="n">
        <f aca="false">IFERROR(IF(OR(ボード!$B$4="",ボード!$B$10="",A29&lt;=ボード!$B$4),"",IF(前提!$B$7=0,ボード!$B$5+ボード!$B$10*(A29-ボード!$B$4),FV(前提!$B$7,A29-ボード!$B$4,-ボード!$B$10,-ボード!$B$5))),"")</f>
        <v>930171.335953793</v>
      </c>
    </row>
    <row r="30" customFormat="false" ht="15" hidden="false" customHeight="false" outlineLevel="0" collapsed="false">
      <c r="A30" s="19" t="n">
        <v>29</v>
      </c>
      <c r="B30" s="17" t="n">
        <f aca="false">IF(前提!$B$7=0,前提!$B$2+前提!$B$8*A30,FV(前提!$B$7,A30,-前提!$B$8,-前提!$B$2))</f>
        <v>965486.896619496</v>
      </c>
      <c r="C30" s="17" t="str">
        <f aca="false">IF(スマホ!B55="","",スマホ!B55)</f>
        <v/>
      </c>
      <c r="D30" s="17" t="n">
        <f aca="false">IFERROR(IF(OR(ボード!$B$4="",ボード!$B$10="",A30&lt;=ボード!$B$4),"",IF(前提!$B$7=0,ボード!$B$5+ボード!$B$10*(A30-ボード!$B$4),FV(前提!$B$7,A30-ボード!$B$4,-ボード!$B$10,-ボード!$B$5))),"")</f>
        <v>965043.530741541</v>
      </c>
    </row>
    <row r="31" customFormat="false" ht="15" hidden="false" customHeight="false" outlineLevel="0" collapsed="false">
      <c r="A31" s="19" t="n">
        <v>30</v>
      </c>
      <c r="B31" s="17" t="n">
        <f aca="false">IF(前提!$B$7=0,前提!$B$2+前提!$B$8*A31,FV(前提!$B$7,A31,-前提!$B$8,-前提!$B$2))</f>
        <v>1000000.00000003</v>
      </c>
      <c r="C31" s="17" t="str">
        <f aca="false">IF(スマホ!B56="","",スマホ!B56)</f>
        <v/>
      </c>
      <c r="D31" s="17" t="n">
        <f aca="false">IFERROR(IF(OR(ボード!$B$4="",ボード!$B$10="",A31&lt;=ボード!$B$4),"",IF(前提!$B$7=0,ボード!$B$5+ボード!$B$10*(A31-ボード!$B$4),FV(前提!$B$7,A31-ボード!$B$4,-ボード!$B$10,-ボード!$B$5))),"")</f>
        <v>1000000.00000003</v>
      </c>
    </row>
    <row r="33" customFormat="false" ht="15" hidden="false" customHeight="false" outlineLevel="0" collapsed="false">
      <c r="A33" s="11"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8"/>
  </cols>
  <sheetData>
    <row r="1" customFormat="false" ht="17.35" hidden="false" customHeight="false" outlineLevel="0" collapsed="false">
      <c r="A1" s="10" t="s">
        <v>64</v>
      </c>
    </row>
    <row r="3" customFormat="false" ht="15" hidden="false" customHeight="false" outlineLevel="0" collapsed="false">
      <c r="A3" s="2" t="s">
        <v>65</v>
      </c>
    </row>
    <row r="4" customFormat="false" ht="17.15" hidden="false" customHeight="false" outlineLevel="0" collapsed="false">
      <c r="A4" s="3" t="s">
        <v>66</v>
      </c>
      <c r="B4" s="19" t="n">
        <f aca="false">IF(COUNT(記録!C2:C31)=0,"",LOOKUP(2,1/(記録!C2:C31&lt;&gt;""),記録!A2:A31))</f>
        <v>4</v>
      </c>
    </row>
    <row r="5" customFormat="false" ht="17.15" hidden="false" customHeight="false" outlineLevel="0" collapsed="false">
      <c r="A5" s="3" t="s">
        <v>67</v>
      </c>
      <c r="B5" s="20" t="n">
        <f aca="false">IF(B4="","",LOOKUP(2,1/(記録!C2:C31&lt;&gt;""),記録!C2:C31))</f>
        <v>118000</v>
      </c>
    </row>
    <row r="6" customFormat="false" ht="17.15" hidden="false" customHeight="false" outlineLevel="0" collapsed="false">
      <c r="A6" s="3" t="s">
        <v>68</v>
      </c>
      <c r="B6" s="17" t="n">
        <f aca="false">前提!B3</f>
        <v>1000000</v>
      </c>
    </row>
    <row r="7" customFormat="false" ht="17.15" hidden="false" customHeight="false" outlineLevel="0" collapsed="false">
      <c r="A7" s="3" t="s">
        <v>69</v>
      </c>
      <c r="B7" s="21" t="n">
        <f aca="false">IF(OR(B4="",前提!B3=前提!B2),"",(B5-前提!B2)/(前提!B3-前提!B2))</f>
        <v>0.118</v>
      </c>
    </row>
    <row r="8" customFormat="false" ht="17.15" hidden="false" customHeight="false" outlineLevel="0" collapsed="false">
      <c r="A8" s="3" t="s">
        <v>70</v>
      </c>
      <c r="B8" s="22" t="str">
        <f aca="false">IF(B4="","",IF(B5&gt;=INDEX(記録!B2:B31,B4),"計画どおり、または先行","計画より遅れ"))</f>
        <v>計画より遅れ</v>
      </c>
    </row>
    <row r="9" customFormat="false" ht="17.15" hidden="false" customHeight="false" outlineLevel="0" collapsed="false">
      <c r="A9" s="3" t="s">
        <v>71</v>
      </c>
      <c r="B9" s="19" t="n">
        <f aca="false">IF(B4="","",前提!B4-B4)</f>
        <v>26</v>
      </c>
    </row>
    <row r="10" customFormat="false" ht="32.8" hidden="false" customHeight="false" outlineLevel="0" collapsed="false">
      <c r="A10" s="3" t="s">
        <v>72</v>
      </c>
      <c r="B10" s="20" t="n">
        <f aca="false">IF(B4="","",IF(B5&gt;=前提!B3,0,IF(B9&lt;=0,"",IF(前提!B7=0,(前提!B3-B5)/B9,PMT(前提!B7,B9,B5,-前提!B3)))))</f>
        <v>32624.2807258581</v>
      </c>
    </row>
    <row r="11" customFormat="false" ht="17.15" hidden="false" customHeight="false" outlineLevel="0" collapsed="false">
      <c r="A11" s="3" t="s">
        <v>73</v>
      </c>
      <c r="B11" s="17" t="n">
        <f aca="false">前提!B8</f>
        <v>32179.8433803691</v>
      </c>
    </row>
    <row r="12" customFormat="false" ht="32.8" hidden="false" customHeight="false" outlineLevel="0" collapsed="false">
      <c r="A12" s="3" t="s">
        <v>74</v>
      </c>
      <c r="B12" s="20" t="n">
        <f aca="false">IF(B4="","",IF(B9&lt;=0,B5,IF(前提!B7=0,B5+前提!B8*B9,FV(前提!B7,B9,-前提!B8,-B5))))</f>
        <v>988088.717077351</v>
      </c>
    </row>
    <row r="13" customFormat="false" ht="17.15" hidden="false" customHeight="false" outlineLevel="0" collapsed="false">
      <c r="A13" s="3" t="s">
        <v>8</v>
      </c>
      <c r="B13" s="23" t="str">
        <f aca="false">IF(COUNTIF(記録!C2:C31,"&lt;0")&gt;0,"マイナスの値があります。確認してください",IF(B4="","実績を入力してください",IF(B9&lt;=0,"期限に達しました（前提の見直しが必要）",IF(COUNT(記録!C2:C31)&lt;B4,"入力していない月があります（現在地は最後に入力した月で計算）","OK"))))</f>
        <v>OK</v>
      </c>
    </row>
    <row r="15" customFormat="false" ht="17.15" hidden="false" customHeight="false" outlineLevel="0" collapsed="false">
      <c r="A15" s="11" t="s">
        <v>75</v>
      </c>
    </row>
    <row r="16" customFormat="false" ht="15" hidden="false" customHeight="false" outlineLevel="0" collapsed="false">
      <c r="A16" s="11"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2026-10-30T03:57:25Z</dcterms:created>
  <dc:creator>openpyxl</dc:creator>
  <dc:description/>
  <dc:language>en-US</dc:language>
  <cp:lastModifiedBy/>
  <dcterms:modified xsi:type="dcterms:W3CDTF">2026-10-30T12:57:56Z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
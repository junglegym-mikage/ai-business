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使い方" sheetId="1" state="visible" r:id="rId3"/>
    <sheet name="前提" sheetId="2" state="visible" r:id="rId4"/>
    <sheet name="記録" sheetId="3" state="visible" r:id="rId5"/>
    <sheet name="ボード"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<sst xmlns="http://schemas.openxmlformats.org/spreadsheetml/2006/main" count="43" uniqueCount="43">
  <si>
    <t xml:space="preserve">② 現在地ボード：家計・積立</t>
  </si>
  <si>
    <r>
      <rPr>
        <sz val="11"/>
        <color theme="1"/>
        <rFont val="Noto Sans CJK SC"/>
        <family val="2"/>
      </rPr>
      <t xml:space="preserve">毎月</t>
    </r>
    <r>
      <rPr>
        <sz val="11"/>
        <color theme="1"/>
        <rFont val="Arial"/>
        <family val="0"/>
        <charset val="1"/>
      </rPr>
      <t xml:space="preserve">1</t>
    </r>
    <r>
      <rPr>
        <sz val="11"/>
        <color theme="1"/>
        <rFont val="Noto Sans CJK SC"/>
        <family val="2"/>
      </rPr>
      <t xml:space="preserve">回、「記録」シートの黄色の欄に、その月の貯蓄額と月末の積立残高（評価額）を入れてください。金額はおおよそで構いません。</t>
    </r>
  </si>
  <si>
    <t xml:space="preserve">「計画」の残高は、初回の試算で決めた毎月の積立額と仮定の利回りで自動計算されます（予測・保証ではありません）。</t>
  </si>
  <si>
    <t xml:space="preserve">投資には元本割れのリスクがあります。銘柄や商品の選び方の助言はこのシートに含まれません。</t>
  </si>
  <si>
    <t xml:space="preserve">凡例</t>
  </si>
  <si>
    <t xml:space="preserve">黄色のセル＝あなたが入力する欄（青字）</t>
  </si>
  <si>
    <t xml:space="preserve">白いセル＝自動計算（触らない）</t>
  </si>
  <si>
    <r>
      <rPr>
        <sz val="11"/>
        <color theme="1"/>
        <rFont val="Arial"/>
        <family val="0"/>
        <charset val="1"/>
      </rPr>
      <t xml:space="preserve">1</t>
    </r>
    <r>
      <rPr>
        <sz val="11"/>
        <color theme="1"/>
        <rFont val="Noto Sans CJK SC"/>
        <family val="2"/>
      </rPr>
      <t xml:space="preserve">行目の数字は記入例（架空）です。上書きしてお使いください。</t>
    </r>
  </si>
  <si>
    <r>
      <rPr>
        <sz val="11"/>
        <color theme="1"/>
        <rFont val="Noto Sans CJK SC"/>
        <family val="2"/>
      </rPr>
      <t xml:space="preserve">このシートは目安を可視化するもので、結果を保証するものではありません。氏名・口座番号・</t>
    </r>
    <r>
      <rPr>
        <sz val="11"/>
        <color theme="1"/>
        <rFont val="Arial"/>
        <family val="0"/>
        <charset val="1"/>
      </rPr>
      <t xml:space="preserve">ID</t>
    </r>
    <r>
      <rPr>
        <sz val="11"/>
        <color theme="1"/>
        <rFont val="Noto Sans CJK SC"/>
        <family val="2"/>
      </rPr>
      <t xml:space="preserve">・パスワードなどは書かないでください。</t>
    </r>
  </si>
  <si>
    <t xml:space="preserve">前提（仮定条件）</t>
  </si>
  <si>
    <t xml:space="preserve">毎月の積立額（円）</t>
  </si>
  <si>
    <t xml:space="preserve">仮定の利回り（年）</t>
  </si>
  <si>
    <t xml:space="preserve">運用手数料（年）</t>
  </si>
  <si>
    <t xml:space="preserve">毎月の貯蓄目標（円）</t>
  </si>
  <si>
    <r>
      <rPr>
        <sz val="11"/>
        <color theme="1"/>
        <rFont val="Noto Sans CJK SC"/>
        <family val="2"/>
      </rPr>
      <t xml:space="preserve">※ 利回りは仮定です。</t>
    </r>
    <r>
      <rPr>
        <sz val="11"/>
        <color theme="1"/>
        <rFont val="Arial"/>
        <family val="0"/>
        <charset val="1"/>
      </rPr>
      <t xml:space="preserve">0%</t>
    </r>
    <r>
      <rPr>
        <sz val="11"/>
        <color theme="1"/>
        <rFont val="Noto Sans CJK SC"/>
        <family val="2"/>
      </rPr>
      <t xml:space="preserve">やマイナスのケースも試してください。税金（課税口座は利益に原則</t>
    </r>
    <r>
      <rPr>
        <sz val="11"/>
        <color theme="1"/>
        <rFont val="Arial"/>
        <family val="0"/>
        <charset val="1"/>
      </rPr>
      <t xml:space="preserve">20.315%</t>
    </r>
    <r>
      <rPr>
        <sz val="11"/>
        <color theme="1"/>
        <rFont val="Noto Sans CJK SC"/>
        <family val="2"/>
      </rPr>
      <t xml:space="preserve">）は含みません。</t>
    </r>
  </si>
  <si>
    <t xml:space="preserve">月</t>
  </si>
  <si>
    <t xml:space="preserve">計画の積立残高（円・仮定）</t>
  </si>
  <si>
    <t xml:space="preserve">実績の積立残高（円）</t>
  </si>
  <si>
    <t xml:space="preserve">差（実績−計画）</t>
  </si>
  <si>
    <t xml:space="preserve">積立元本（円）</t>
  </si>
  <si>
    <t xml:space="preserve">その月の貯蓄額（円）</t>
  </si>
  <si>
    <t xml:space="preserve">貯蓄目標との差（円）</t>
  </si>
  <si>
    <r>
      <rPr>
        <sz val="11"/>
        <color rgb="FF0000FF"/>
        <rFont val="Arial"/>
        <family val="0"/>
        <charset val="1"/>
      </rPr>
      <t xml:space="preserve">1</t>
    </r>
    <r>
      <rPr>
        <sz val="11"/>
        <color rgb="FF0000FF"/>
        <rFont val="Noto Sans CJK SC"/>
        <family val="2"/>
      </rPr>
      <t xml:space="preserve">か月目</t>
    </r>
  </si>
  <si>
    <r>
      <rPr>
        <sz val="11"/>
        <color rgb="FF0000FF"/>
        <rFont val="Arial"/>
        <family val="0"/>
        <charset val="1"/>
      </rPr>
      <t xml:space="preserve">2</t>
    </r>
    <r>
      <rPr>
        <sz val="11"/>
        <color rgb="FF0000FF"/>
        <rFont val="Noto Sans CJK SC"/>
        <family val="2"/>
      </rPr>
      <t xml:space="preserve">か月目</t>
    </r>
  </si>
  <si>
    <r>
      <rPr>
        <sz val="11"/>
        <color rgb="FF0000FF"/>
        <rFont val="Arial"/>
        <family val="0"/>
        <charset val="1"/>
      </rPr>
      <t xml:space="preserve">3</t>
    </r>
    <r>
      <rPr>
        <sz val="11"/>
        <color rgb="FF0000FF"/>
        <rFont val="Noto Sans CJK SC"/>
        <family val="2"/>
      </rPr>
      <t xml:space="preserve">か月目</t>
    </r>
  </si>
  <si>
    <r>
      <rPr>
        <sz val="11"/>
        <color rgb="FF0000FF"/>
        <rFont val="Arial"/>
        <family val="0"/>
        <charset val="1"/>
      </rPr>
      <t xml:space="preserve">4</t>
    </r>
    <r>
      <rPr>
        <sz val="11"/>
        <color rgb="FF0000FF"/>
        <rFont val="Noto Sans CJK SC"/>
        <family val="2"/>
      </rPr>
      <t xml:space="preserve">か月目</t>
    </r>
  </si>
  <si>
    <r>
      <rPr>
        <sz val="11"/>
        <color rgb="FF0000FF"/>
        <rFont val="Arial"/>
        <family val="0"/>
        <charset val="1"/>
      </rPr>
      <t xml:space="preserve">5</t>
    </r>
    <r>
      <rPr>
        <sz val="11"/>
        <color rgb="FF0000FF"/>
        <rFont val="Noto Sans CJK SC"/>
        <family val="2"/>
      </rPr>
      <t xml:space="preserve">か月目</t>
    </r>
  </si>
  <si>
    <r>
      <rPr>
        <sz val="11"/>
        <color rgb="FF0000FF"/>
        <rFont val="Arial"/>
        <family val="0"/>
        <charset val="1"/>
      </rPr>
      <t xml:space="preserve">6</t>
    </r>
    <r>
      <rPr>
        <sz val="11"/>
        <color rgb="FF0000FF"/>
        <rFont val="Noto Sans CJK SC"/>
        <family val="2"/>
      </rPr>
      <t xml:space="preserve">か月目</t>
    </r>
  </si>
  <si>
    <r>
      <rPr>
        <sz val="11"/>
        <color rgb="FF0000FF"/>
        <rFont val="Arial"/>
        <family val="0"/>
        <charset val="1"/>
      </rPr>
      <t xml:space="preserve">7</t>
    </r>
    <r>
      <rPr>
        <sz val="11"/>
        <color rgb="FF0000FF"/>
        <rFont val="Noto Sans CJK SC"/>
        <family val="2"/>
      </rPr>
      <t xml:space="preserve">か月目</t>
    </r>
  </si>
  <si>
    <r>
      <rPr>
        <sz val="11"/>
        <color rgb="FF0000FF"/>
        <rFont val="Arial"/>
        <family val="0"/>
        <charset val="1"/>
      </rPr>
      <t xml:space="preserve">8</t>
    </r>
    <r>
      <rPr>
        <sz val="11"/>
        <color rgb="FF0000FF"/>
        <rFont val="Noto Sans CJK SC"/>
        <family val="2"/>
      </rPr>
      <t xml:space="preserve">か月目</t>
    </r>
  </si>
  <si>
    <r>
      <rPr>
        <sz val="11"/>
        <color rgb="FF0000FF"/>
        <rFont val="Arial"/>
        <family val="0"/>
        <charset val="1"/>
      </rPr>
      <t xml:space="preserve">9</t>
    </r>
    <r>
      <rPr>
        <sz val="11"/>
        <color rgb="FF0000FF"/>
        <rFont val="Noto Sans CJK SC"/>
        <family val="2"/>
      </rPr>
      <t xml:space="preserve">か月目</t>
    </r>
  </si>
  <si>
    <r>
      <rPr>
        <sz val="11"/>
        <color rgb="FF0000FF"/>
        <rFont val="Arial"/>
        <family val="0"/>
        <charset val="1"/>
      </rPr>
      <t xml:space="preserve">10</t>
    </r>
    <r>
      <rPr>
        <sz val="11"/>
        <color rgb="FF0000FF"/>
        <rFont val="Noto Sans CJK SC"/>
        <family val="2"/>
      </rPr>
      <t xml:space="preserve">か月目</t>
    </r>
  </si>
  <si>
    <r>
      <rPr>
        <sz val="11"/>
        <color rgb="FF0000FF"/>
        <rFont val="Arial"/>
        <family val="0"/>
        <charset val="1"/>
      </rPr>
      <t xml:space="preserve">11</t>
    </r>
    <r>
      <rPr>
        <sz val="11"/>
        <color rgb="FF0000FF"/>
        <rFont val="Noto Sans CJK SC"/>
        <family val="2"/>
      </rPr>
      <t xml:space="preserve">か月目</t>
    </r>
  </si>
  <si>
    <r>
      <rPr>
        <sz val="11"/>
        <color rgb="FF0000FF"/>
        <rFont val="Arial"/>
        <family val="0"/>
        <charset val="1"/>
      </rPr>
      <t xml:space="preserve">12</t>
    </r>
    <r>
      <rPr>
        <sz val="11"/>
        <color rgb="FF0000FF"/>
        <rFont val="Noto Sans CJK SC"/>
        <family val="2"/>
      </rPr>
      <t xml:space="preserve">か月目</t>
    </r>
  </si>
  <si>
    <t xml:space="preserve">※ 実績・貯蓄額の数字は架空の記入例です。</t>
  </si>
  <si>
    <t xml:space="preserve">現在地ボード：家計・積立（仮定条件にもとづく）</t>
  </si>
  <si>
    <t xml:space="preserve">最新の積立残高（円）</t>
  </si>
  <si>
    <t xml:space="preserve">同じ月の計画残高（円）</t>
  </si>
  <si>
    <t xml:space="preserve">計画との差（円）</t>
  </si>
  <si>
    <r>
      <rPr>
        <sz val="11"/>
        <color theme="1"/>
        <rFont val="Arial"/>
        <family val="0"/>
        <charset val="1"/>
      </rPr>
      <t xml:space="preserve">12</t>
    </r>
    <r>
      <rPr>
        <sz val="11"/>
        <color theme="1"/>
        <rFont val="Noto Sans CJK SC"/>
        <family val="2"/>
      </rPr>
      <t xml:space="preserve">か月後の計画残高（円）</t>
    </r>
  </si>
  <si>
    <t xml:space="preserve">貯蓄目標を達成した月の数</t>
  </si>
  <si>
    <t xml:space="preserve">記録した月の数</t>
  </si>
  <si>
    <t xml:space="preserve">※ 計画残高は仮定の利回りでの試算で、予測・保証ではありません。</t>
  </si>
</sst>
</file>

<file path=xl/styles.xml><?xml version="1.0" encoding="utf-8"?>
<styleSheet xmlns="http://schemas.openxmlformats.org/spreadsheetml/2006/main">
  <numFmts count="5">
    <numFmt numFmtId="164" formatCode="General"/>
    <numFmt numFmtId="165" formatCode="0.0%"/>
    <numFmt numFmtId="166" formatCode="#,##0"/>
    <numFmt numFmtId="167" formatCode="#,##0;\-#,##0;0"/>
    <numFmt numFmtId="168" formatCode="0"/>
  </numFmts>
  <fonts count="14">
    <font>
      <sz val="11"/>
      <color theme="1"/>
      <name val="Calibri"/>
      <family val="2"/>
      <charset val="1"/>
    </font>
    <font>
      <sz val="10"/>
      <name val="Arial"/>
      <family val="0"/>
    </font>
    <font>
      <sz val="10"/>
      <name val="Arial"/>
      <family val="0"/>
    </font>
    <font>
      <sz val="10"/>
      <name val="Arial"/>
      <family val="0"/>
    </font>
    <font>
      <b val="true"/>
      <sz val="14"/>
      <name val="Noto Sans CJK SC"/>
      <family val="2"/>
    </font>
    <font>
      <sz val="11"/>
      <color theme="1"/>
      <name val="Noto Sans CJK SC"/>
      <family val="2"/>
    </font>
    <font>
      <sz val="11"/>
      <color theme="1"/>
      <name val="Arial"/>
      <family val="0"/>
      <charset val="1"/>
    </font>
    <font>
      <b val="true"/>
      <sz val="11"/>
      <name val="Noto Sans CJK SC"/>
      <family val="2"/>
    </font>
    <font>
      <sz val="11"/>
      <color rgb="FF0000FF"/>
      <name val="Noto Sans CJK SC"/>
      <family val="2"/>
    </font>
    <font>
      <sz val="11"/>
      <color rgb="FF0000FF"/>
      <name val="Arial"/>
      <family val="0"/>
      <charset val="1"/>
    </font>
    <font>
      <sz val="11"/>
      <name val="Arial"/>
      <family val="0"/>
      <charset val="1"/>
    </font>
    <font>
      <b val="true"/>
      <sz val="18"/>
      <color rgb="FF000000"/>
      <name val="Noto Sans CJK SC"/>
      <family val="2"/>
    </font>
    <font>
      <sz val="10"/>
      <color rgb="FF000000"/>
      <name val="Calibri"/>
      <family val="2"/>
    </font>
    <font>
      <b val="true"/>
      <sz val="10"/>
      <color rgb="FF000000"/>
      <name val="Noto Sans CJK SC"/>
      <family val="2"/>
    </font>
  </fonts>
  <fills count="4">
    <fill>
      <patternFill patternType="none"/>
    </fill>
    <fill>
      <patternFill patternType="gray125"/>
    </fill>
    <fill>
      <patternFill patternType="solid">
        <fgColor rgb="FFFFF2CC"/>
        <bgColor rgb="FFFFFFFF"/>
      </patternFill>
    </fill>
    <fill>
      <patternFill patternType="solid">
        <fgColor rgb="FFDDE6F5"/>
        <bgColor rgb="FFD9D9D9"/>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5" fontId="9" fillId="2"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center" textRotation="0" wrapText="tru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7" fontId="10"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78787"/>
      <rgbColor rgb="FF9999FF"/>
      <rgbColor rgb="FFBE4B48"/>
      <rgbColor rgb="FFFFF2CC"/>
      <rgbColor rgb="FFDDE6F5"/>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A7EBB"/>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積立残高：計画（仮定）と実績</a:t>
            </a:r>
          </a:p>
        </c:rich>
      </c:tx>
      <c:overlay val="0"/>
      <c:spPr>
        <a:noFill/>
        <a:ln w="0">
          <a:noFill/>
        </a:ln>
      </c:spPr>
    </c:title>
    <c:autoTitleDeleted val="0"/>
    <c:plotArea>
      <c:lineChart>
        <c:grouping val="standard"/>
        <c:varyColors val="0"/>
        <c:ser>
          <c:idx val="0"/>
          <c:order val="0"/>
          <c:tx>
            <c:strRef>
              <c:f>記録!B1</c:f>
              <c:strCache>
                <c:ptCount val="1"/>
                <c:pt idx="0">
                  <c:v>計画の積立残高（円・仮定）</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記録!$A$2:$A$13</c:f>
              <c:strCache>
                <c:ptCount val="12"/>
                <c:pt idx="0">
                  <c:v>1か月目</c:v>
                </c:pt>
                <c:pt idx="1">
                  <c:v>2か月目</c:v>
                </c:pt>
                <c:pt idx="2">
                  <c:v>3か月目</c:v>
                </c:pt>
                <c:pt idx="3">
                  <c:v>4か月目</c:v>
                </c:pt>
                <c:pt idx="4">
                  <c:v>5か月目</c:v>
                </c:pt>
                <c:pt idx="5">
                  <c:v>6か月目</c:v>
                </c:pt>
                <c:pt idx="6">
                  <c:v>7か月目</c:v>
                </c:pt>
                <c:pt idx="7">
                  <c:v>8か月目</c:v>
                </c:pt>
                <c:pt idx="8">
                  <c:v>9か月目</c:v>
                </c:pt>
                <c:pt idx="9">
                  <c:v>10か月目</c:v>
                </c:pt>
                <c:pt idx="10">
                  <c:v>11か月目</c:v>
                </c:pt>
                <c:pt idx="11">
                  <c:v>12か月目</c:v>
                </c:pt>
              </c:strCache>
            </c:strRef>
          </c:cat>
          <c:val>
            <c:numRef>
              <c:f>記録!$B$2:$B$13</c:f>
              <c:numCache>
                <c:formatCode>#,##0</c:formatCode>
                <c:ptCount val="12"/>
                <c:pt idx="0">
                  <c:v>30000</c:v>
                </c:pt>
                <c:pt idx="1">
                  <c:v>60072.5</c:v>
                </c:pt>
                <c:pt idx="2">
                  <c:v>90217.6752083333</c:v>
                </c:pt>
                <c:pt idx="3">
                  <c:v>120435.701256753</c:v>
                </c:pt>
                <c:pt idx="4">
                  <c:v>150726.754201457</c:v>
                </c:pt>
                <c:pt idx="5">
                  <c:v>181091.010524111</c:v>
                </c:pt>
                <c:pt idx="6">
                  <c:v>211528.647132877</c:v>
                </c:pt>
                <c:pt idx="7">
                  <c:v>242039.841363449</c:v>
                </c:pt>
                <c:pt idx="8">
                  <c:v>272624.770980077</c:v>
                </c:pt>
                <c:pt idx="9">
                  <c:v>303283.614176612</c:v>
                </c:pt>
                <c:pt idx="10">
                  <c:v>334016.549577539</c:v>
                </c:pt>
                <c:pt idx="11">
                  <c:v>364823.756239018</c:v>
                </c:pt>
              </c:numCache>
            </c:numRef>
          </c:val>
          <c:smooth val="1"/>
        </c:ser>
        <c:ser>
          <c:idx val="1"/>
          <c:order val="1"/>
          <c:tx>
            <c:strRef>
              <c:f>記録!C1</c:f>
              <c:strCache>
                <c:ptCount val="1"/>
                <c:pt idx="0">
                  <c:v>実績の積立残高（円）</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記録!$A$2:$A$13</c:f>
              <c:strCache>
                <c:ptCount val="12"/>
                <c:pt idx="0">
                  <c:v>1か月目</c:v>
                </c:pt>
                <c:pt idx="1">
                  <c:v>2か月目</c:v>
                </c:pt>
                <c:pt idx="2">
                  <c:v>3か月目</c:v>
                </c:pt>
                <c:pt idx="3">
                  <c:v>4か月目</c:v>
                </c:pt>
                <c:pt idx="4">
                  <c:v>5か月目</c:v>
                </c:pt>
                <c:pt idx="5">
                  <c:v>6か月目</c:v>
                </c:pt>
                <c:pt idx="6">
                  <c:v>7か月目</c:v>
                </c:pt>
                <c:pt idx="7">
                  <c:v>8か月目</c:v>
                </c:pt>
                <c:pt idx="8">
                  <c:v>9か月目</c:v>
                </c:pt>
                <c:pt idx="9">
                  <c:v>10か月目</c:v>
                </c:pt>
                <c:pt idx="10">
                  <c:v>11か月目</c:v>
                </c:pt>
                <c:pt idx="11">
                  <c:v>12か月目</c:v>
                </c:pt>
              </c:strCache>
            </c:strRef>
          </c:cat>
          <c:val>
            <c:numRef>
              <c:f>記録!$C$2:$C$13</c:f>
              <c:numCache>
                <c:formatCode>#,##0</c:formatCode>
                <c:ptCount val="12"/>
                <c:pt idx="0">
                  <c:v>30000</c:v>
                </c:pt>
                <c:pt idx="1">
                  <c:v>61000</c:v>
                </c:pt>
                <c:pt idx="2">
                  <c:v>90500</c:v>
                </c:pt>
              </c:numCache>
            </c:numRef>
          </c:val>
          <c:smooth val="1"/>
        </c:ser>
        <c:hiLowLines>
          <c:spPr>
            <a:ln w="0">
              <a:noFill/>
            </a:ln>
          </c:spPr>
        </c:hiLowLines>
        <c:marker val="0"/>
        <c:axId val="49985257"/>
        <c:axId val="90247127"/>
      </c:lineChart>
      <c:catAx>
        <c:axId val="4998525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247127"/>
        <c:crosses val="autoZero"/>
        <c:auto val="1"/>
        <c:lblAlgn val="ctr"/>
        <c:lblOffset val="100"/>
        <c:noMultiLvlLbl val="0"/>
      </c:catAx>
      <c:valAx>
        <c:axId val="9024712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円</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98525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1</xdr:row>
      <xdr:rowOff>160560</xdr:rowOff>
    </xdr:from>
    <xdr:to>
      <xdr:col>13</xdr:col>
      <xdr:colOff>364680</xdr:colOff>
      <xdr:row>16</xdr:row>
      <xdr:rowOff>155520</xdr:rowOff>
    </xdr:to>
    <xdr:graphicFrame>
      <xdr:nvGraphicFramePr>
        <xdr:cNvPr id="0" name="Chart 1"/>
        <xdr:cNvGraphicFramePr/>
      </xdr:nvGraphicFramePr>
      <xdr:xfrm>
        <a:off x="3853800" y="380880"/>
        <a:ext cx="64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0"/>
  </cols>
  <sheetData>
    <row r="1" customFormat="false" ht="17.35" hidden="false" customHeight="false" outlineLevel="0" collapsed="false">
      <c r="A1" s="1" t="s">
        <v>0</v>
      </c>
    </row>
    <row r="3" customFormat="false" ht="17.15" hidden="false" customHeight="false" outlineLevel="0" collapsed="false">
      <c r="A3" s="2" t="s">
        <v>1</v>
      </c>
    </row>
    <row r="4" customFormat="false" ht="15" hidden="false" customHeight="false" outlineLevel="0" collapsed="false">
      <c r="A4" s="2" t="s">
        <v>2</v>
      </c>
    </row>
    <row r="5" customFormat="false" ht="15" hidden="false" customHeight="false" outlineLevel="0" collapsed="false">
      <c r="A5" s="2" t="s">
        <v>3</v>
      </c>
    </row>
    <row r="7" customFormat="false" ht="15" hidden="false" customHeight="false" outlineLevel="0" collapsed="false">
      <c r="A7" s="3" t="s">
        <v>4</v>
      </c>
    </row>
    <row r="8" customFormat="false" ht="15" hidden="false" customHeight="false" outlineLevel="0" collapsed="false">
      <c r="A8" s="4" t="s">
        <v>5</v>
      </c>
    </row>
    <row r="9" customFormat="false" ht="15" hidden="false" customHeight="false" outlineLevel="0" collapsed="false">
      <c r="A9" s="2" t="s">
        <v>6</v>
      </c>
    </row>
    <row r="10" customFormat="false" ht="17.15" hidden="false" customHeight="false" outlineLevel="0" collapsed="false">
      <c r="A10" s="5" t="s">
        <v>7</v>
      </c>
    </row>
    <row r="12" customFormat="false" ht="17.15" hidden="false" customHeight="false" outlineLevel="0" collapsed="false">
      <c r="A12" s="2" t="s">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4"/>
  </cols>
  <sheetData>
    <row r="1" customFormat="false" ht="15" hidden="false" customHeight="false" outlineLevel="0" collapsed="false">
      <c r="A1" s="3" t="s">
        <v>9</v>
      </c>
    </row>
    <row r="2" customFormat="false" ht="15" hidden="false" customHeight="false" outlineLevel="0" collapsed="false">
      <c r="A2" s="2" t="s">
        <v>10</v>
      </c>
      <c r="B2" s="6" t="n">
        <v>30000</v>
      </c>
    </row>
    <row r="3" customFormat="false" ht="15" hidden="false" customHeight="false" outlineLevel="0" collapsed="false">
      <c r="A3" s="2" t="s">
        <v>11</v>
      </c>
      <c r="B3" s="7" t="n">
        <v>0.03</v>
      </c>
    </row>
    <row r="4" customFormat="false" ht="15" hidden="false" customHeight="false" outlineLevel="0" collapsed="false">
      <c r="A4" s="2" t="s">
        <v>12</v>
      </c>
      <c r="B4" s="7" t="n">
        <v>0.001</v>
      </c>
    </row>
    <row r="5" customFormat="false" ht="15" hidden="false" customHeight="false" outlineLevel="0" collapsed="false">
      <c r="A5" s="2" t="s">
        <v>13</v>
      </c>
      <c r="B5" s="6" t="n">
        <v>20000</v>
      </c>
    </row>
    <row r="7" customFormat="false" ht="17.15" hidden="false" customHeight="false" outlineLevel="0" collapsed="false">
      <c r="A7" s="2"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20"/>
    <col collapsed="false" customWidth="true" hidden="false" outlineLevel="0" max="4" min="4" style="0" width="18"/>
    <col collapsed="false" customWidth="true" hidden="false" outlineLevel="0" max="5" min="5" style="0" width="16"/>
    <col collapsed="false" customWidth="true" hidden="false" outlineLevel="0" max="7" min="6" style="0" width="18"/>
  </cols>
  <sheetData>
    <row r="1" customFormat="false" ht="32.8" hidden="false" customHeight="false" outlineLevel="0" collapsed="false">
      <c r="A1" s="8" t="s">
        <v>15</v>
      </c>
      <c r="B1" s="8" t="s">
        <v>16</v>
      </c>
      <c r="C1" s="8" t="s">
        <v>17</v>
      </c>
      <c r="D1" s="8" t="s">
        <v>18</v>
      </c>
      <c r="E1" s="8" t="s">
        <v>19</v>
      </c>
      <c r="F1" s="8" t="s">
        <v>20</v>
      </c>
      <c r="G1" s="8" t="s">
        <v>21</v>
      </c>
    </row>
    <row r="2" customFormat="false" ht="17.15" hidden="false" customHeight="false" outlineLevel="0" collapsed="false">
      <c r="A2" s="6" t="s">
        <v>22</v>
      </c>
      <c r="B2" s="9" t="n">
        <f aca="false">前提!$B$2</f>
        <v>30000</v>
      </c>
      <c r="C2" s="10" t="n">
        <v>30000</v>
      </c>
      <c r="D2" s="11" t="n">
        <f aca="false">IF(C2="","",C2-B2)</f>
        <v>0</v>
      </c>
      <c r="E2" s="9" t="n">
        <f aca="false">前提!$B$2*1</f>
        <v>30000</v>
      </c>
      <c r="F2" s="10" t="n">
        <v>22000</v>
      </c>
      <c r="G2" s="11" t="n">
        <f aca="false">IF(F2="","",F2-前提!$B$5)</f>
        <v>2000</v>
      </c>
    </row>
    <row r="3" customFormat="false" ht="17.15" hidden="false" customHeight="false" outlineLevel="0" collapsed="false">
      <c r="A3" s="6" t="s">
        <v>23</v>
      </c>
      <c r="B3" s="9" t="n">
        <f aca="false">B2*(1+(前提!$B$3-前提!$B$4)/12)+前提!$B$2</f>
        <v>60072.5</v>
      </c>
      <c r="C3" s="10" t="n">
        <v>61000</v>
      </c>
      <c r="D3" s="11" t="n">
        <f aca="false">IF(C3="","",C3-B3)</f>
        <v>927.5</v>
      </c>
      <c r="E3" s="9" t="n">
        <f aca="false">前提!$B$2*2</f>
        <v>60000</v>
      </c>
      <c r="F3" s="10" t="n">
        <v>18000</v>
      </c>
      <c r="G3" s="11" t="n">
        <f aca="false">IF(F3="","",F3-前提!$B$5)</f>
        <v>-2000</v>
      </c>
    </row>
    <row r="4" customFormat="false" ht="17.15" hidden="false" customHeight="false" outlineLevel="0" collapsed="false">
      <c r="A4" s="6" t="s">
        <v>24</v>
      </c>
      <c r="B4" s="9" t="n">
        <f aca="false">B3*(1+(前提!$B$3-前提!$B$4)/12)+前提!$B$2</f>
        <v>90217.6752083333</v>
      </c>
      <c r="C4" s="10" t="n">
        <v>90500</v>
      </c>
      <c r="D4" s="11" t="n">
        <f aca="false">IF(C4="","",C4-B4)</f>
        <v>282.324791666673</v>
      </c>
      <c r="E4" s="9" t="n">
        <f aca="false">前提!$B$2*3</f>
        <v>90000</v>
      </c>
      <c r="F4" s="10" t="n">
        <v>25000</v>
      </c>
      <c r="G4" s="11" t="n">
        <f aca="false">IF(F4="","",F4-前提!$B$5)</f>
        <v>5000</v>
      </c>
    </row>
    <row r="5" customFormat="false" ht="17.15" hidden="false" customHeight="false" outlineLevel="0" collapsed="false">
      <c r="A5" s="6" t="s">
        <v>25</v>
      </c>
      <c r="B5" s="9" t="n">
        <f aca="false">B4*(1+(前提!$B$3-前提!$B$4)/12)+前提!$B$2</f>
        <v>120435.701256753</v>
      </c>
      <c r="C5" s="10"/>
      <c r="D5" s="11" t="str">
        <f aca="false">IF(C5="","",C5-B5)</f>
        <v/>
      </c>
      <c r="E5" s="9" t="n">
        <f aca="false">前提!$B$2*4</f>
        <v>120000</v>
      </c>
      <c r="F5" s="10"/>
      <c r="G5" s="11" t="str">
        <f aca="false">IF(F5="","",F5-前提!$B$5)</f>
        <v/>
      </c>
    </row>
    <row r="6" customFormat="false" ht="17.15" hidden="false" customHeight="false" outlineLevel="0" collapsed="false">
      <c r="A6" s="6" t="s">
        <v>26</v>
      </c>
      <c r="B6" s="9" t="n">
        <f aca="false">B5*(1+(前提!$B$3-前提!$B$4)/12)+前提!$B$2</f>
        <v>150726.754201457</v>
      </c>
      <c r="C6" s="10"/>
      <c r="D6" s="11" t="str">
        <f aca="false">IF(C6="","",C6-B6)</f>
        <v/>
      </c>
      <c r="E6" s="9" t="n">
        <f aca="false">前提!$B$2*5</f>
        <v>150000</v>
      </c>
      <c r="F6" s="10"/>
      <c r="G6" s="11" t="str">
        <f aca="false">IF(F6="","",F6-前提!$B$5)</f>
        <v/>
      </c>
    </row>
    <row r="7" customFormat="false" ht="17.15" hidden="false" customHeight="false" outlineLevel="0" collapsed="false">
      <c r="A7" s="6" t="s">
        <v>27</v>
      </c>
      <c r="B7" s="9" t="n">
        <f aca="false">B6*(1+(前提!$B$3-前提!$B$4)/12)+前提!$B$2</f>
        <v>181091.010524111</v>
      </c>
      <c r="C7" s="10"/>
      <c r="D7" s="11" t="str">
        <f aca="false">IF(C7="","",C7-B7)</f>
        <v/>
      </c>
      <c r="E7" s="9" t="n">
        <f aca="false">前提!$B$2*6</f>
        <v>180000</v>
      </c>
      <c r="F7" s="10"/>
      <c r="G7" s="11" t="str">
        <f aca="false">IF(F7="","",F7-前提!$B$5)</f>
        <v/>
      </c>
    </row>
    <row r="8" customFormat="false" ht="17.15" hidden="false" customHeight="false" outlineLevel="0" collapsed="false">
      <c r="A8" s="6" t="s">
        <v>28</v>
      </c>
      <c r="B8" s="9" t="n">
        <f aca="false">B7*(1+(前提!$B$3-前提!$B$4)/12)+前提!$B$2</f>
        <v>211528.647132877</v>
      </c>
      <c r="C8" s="10"/>
      <c r="D8" s="11" t="str">
        <f aca="false">IF(C8="","",C8-B8)</f>
        <v/>
      </c>
      <c r="E8" s="9" t="n">
        <f aca="false">前提!$B$2*7</f>
        <v>210000</v>
      </c>
      <c r="F8" s="10"/>
      <c r="G8" s="11" t="str">
        <f aca="false">IF(F8="","",F8-前提!$B$5)</f>
        <v/>
      </c>
    </row>
    <row r="9" customFormat="false" ht="17.15" hidden="false" customHeight="false" outlineLevel="0" collapsed="false">
      <c r="A9" s="6" t="s">
        <v>29</v>
      </c>
      <c r="B9" s="9" t="n">
        <f aca="false">B8*(1+(前提!$B$3-前提!$B$4)/12)+前提!$B$2</f>
        <v>242039.841363449</v>
      </c>
      <c r="C9" s="10"/>
      <c r="D9" s="11" t="str">
        <f aca="false">IF(C9="","",C9-B9)</f>
        <v/>
      </c>
      <c r="E9" s="9" t="n">
        <f aca="false">前提!$B$2*8</f>
        <v>240000</v>
      </c>
      <c r="F9" s="10"/>
      <c r="G9" s="11" t="str">
        <f aca="false">IF(F9="","",F9-前提!$B$5)</f>
        <v/>
      </c>
    </row>
    <row r="10" customFormat="false" ht="17.15" hidden="false" customHeight="false" outlineLevel="0" collapsed="false">
      <c r="A10" s="6" t="s">
        <v>30</v>
      </c>
      <c r="B10" s="9" t="n">
        <f aca="false">B9*(1+(前提!$B$3-前提!$B$4)/12)+前提!$B$2</f>
        <v>272624.770980077</v>
      </c>
      <c r="C10" s="10"/>
      <c r="D10" s="11" t="str">
        <f aca="false">IF(C10="","",C10-B10)</f>
        <v/>
      </c>
      <c r="E10" s="9" t="n">
        <f aca="false">前提!$B$2*9</f>
        <v>270000</v>
      </c>
      <c r="F10" s="10"/>
      <c r="G10" s="11" t="str">
        <f aca="false">IF(F10="","",F10-前提!$B$5)</f>
        <v/>
      </c>
    </row>
    <row r="11" customFormat="false" ht="17.15" hidden="false" customHeight="false" outlineLevel="0" collapsed="false">
      <c r="A11" s="6" t="s">
        <v>31</v>
      </c>
      <c r="B11" s="9" t="n">
        <f aca="false">B10*(1+(前提!$B$3-前提!$B$4)/12)+前提!$B$2</f>
        <v>303283.614176612</v>
      </c>
      <c r="C11" s="10"/>
      <c r="D11" s="11" t="str">
        <f aca="false">IF(C11="","",C11-B11)</f>
        <v/>
      </c>
      <c r="E11" s="9" t="n">
        <f aca="false">前提!$B$2*10</f>
        <v>300000</v>
      </c>
      <c r="F11" s="10"/>
      <c r="G11" s="11" t="str">
        <f aca="false">IF(F11="","",F11-前提!$B$5)</f>
        <v/>
      </c>
    </row>
    <row r="12" customFormat="false" ht="17.15" hidden="false" customHeight="false" outlineLevel="0" collapsed="false">
      <c r="A12" s="6" t="s">
        <v>32</v>
      </c>
      <c r="B12" s="9" t="n">
        <f aca="false">B11*(1+(前提!$B$3-前提!$B$4)/12)+前提!$B$2</f>
        <v>334016.549577539</v>
      </c>
      <c r="C12" s="10"/>
      <c r="D12" s="11" t="str">
        <f aca="false">IF(C12="","",C12-B12)</f>
        <v/>
      </c>
      <c r="E12" s="9" t="n">
        <f aca="false">前提!$B$2*11</f>
        <v>330000</v>
      </c>
      <c r="F12" s="10"/>
      <c r="G12" s="11" t="str">
        <f aca="false">IF(F12="","",F12-前提!$B$5)</f>
        <v/>
      </c>
    </row>
    <row r="13" customFormat="false" ht="17.15" hidden="false" customHeight="false" outlineLevel="0" collapsed="false">
      <c r="A13" s="6" t="s">
        <v>33</v>
      </c>
      <c r="B13" s="9" t="n">
        <f aca="false">B12*(1+(前提!$B$3-前提!$B$4)/12)+前提!$B$2</f>
        <v>364823.756239018</v>
      </c>
      <c r="C13" s="10"/>
      <c r="D13" s="11" t="str">
        <f aca="false">IF(C13="","",C13-B13)</f>
        <v/>
      </c>
      <c r="E13" s="9" t="n">
        <f aca="false">前提!$B$2*12</f>
        <v>360000</v>
      </c>
      <c r="F13" s="10"/>
      <c r="G13" s="11" t="str">
        <f aca="false">IF(F13="","",F13-前提!$B$5)</f>
        <v/>
      </c>
    </row>
    <row r="15" customFormat="false" ht="15" hidden="false" customHeight="false" outlineLevel="0" collapsed="false">
      <c r="A15" s="2" t="s">
        <v>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6"/>
  </cols>
  <sheetData>
    <row r="1" customFormat="false" ht="17.35" hidden="false" customHeight="false" outlineLevel="0" collapsed="false">
      <c r="A1" s="1" t="s">
        <v>35</v>
      </c>
    </row>
    <row r="3" customFormat="false" ht="15" hidden="false" customHeight="false" outlineLevel="0" collapsed="false">
      <c r="A3" s="12" t="s">
        <v>36</v>
      </c>
      <c r="B3" s="9" t="n">
        <f aca="false">IFERROR(LOOKUP(2,1/(記録!C2:C13&lt;&gt;""),記録!C2:C13),"")</f>
        <v>90500</v>
      </c>
    </row>
    <row r="4" customFormat="false" ht="15" hidden="false" customHeight="false" outlineLevel="0" collapsed="false">
      <c r="A4" s="12" t="s">
        <v>37</v>
      </c>
      <c r="B4" s="9" t="n">
        <f aca="false">IFERROR(INDEX(記録!B2:B13,COUNT(記録!C2:C13)),"")</f>
        <v>90217.6752083333</v>
      </c>
    </row>
    <row r="5" customFormat="false" ht="15" hidden="false" customHeight="false" outlineLevel="0" collapsed="false">
      <c r="A5" s="12" t="s">
        <v>38</v>
      </c>
      <c r="B5" s="11" t="n">
        <f aca="false">IFERROR(B3-B4,"")</f>
        <v>282.324791666673</v>
      </c>
    </row>
    <row r="6" customFormat="false" ht="17.15" hidden="false" customHeight="false" outlineLevel="0" collapsed="false">
      <c r="A6" s="13" t="s">
        <v>39</v>
      </c>
      <c r="B6" s="9" t="n">
        <f aca="false">記録!B13</f>
        <v>364823.756239018</v>
      </c>
    </row>
    <row r="7" customFormat="false" ht="15" hidden="false" customHeight="false" outlineLevel="0" collapsed="false">
      <c r="A7" s="12" t="s">
        <v>40</v>
      </c>
      <c r="B7" s="14" t="n">
        <f aca="false">COUNTIFS(記録!G2:G13,"&gt;=0")</f>
        <v>2</v>
      </c>
    </row>
    <row r="8" customFormat="false" ht="15" hidden="false" customHeight="false" outlineLevel="0" collapsed="false">
      <c r="A8" s="12" t="s">
        <v>41</v>
      </c>
      <c r="B8" s="14" t="n">
        <f aca="false">COUNT(記録!F2:F13)</f>
        <v>3</v>
      </c>
    </row>
    <row r="10" customFormat="false" ht="15" hidden="false" customHeight="false" outlineLevel="0" collapsed="false">
      <c r="A10" s="2" t="s">
        <v>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2026-10-30T02:58:02Z</dcterms:created>
  <dc:creator>openpyxl</dc:creator>
  <dc:description/>
  <dc:language>en-US</dc:language>
  <cp:lastModifiedBy/>
  <dcterms:modified xsi:type="dcterms:W3CDTF">2026-10-30T11:58:05Z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
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段階" sheetId="2" state="visible" r:id="rId4"/>
    <sheet name="週の記録" sheetId="3" state="visible" r:id="rId5"/>
    <sheet name="ボード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<sst xmlns="http://schemas.openxmlformats.org/spreadsheetml/2006/main" count="51" uniqueCount="50">
  <si>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③ 現在地ボード：目標達成ロードマップ</t>
  </si>
  <si>
    <t xml:space="preserve">「段階」シートに初回の計画書のマイルストーンを転記し、達成したら「状態」を「達成」にしてください。</t>
  </si>
  <si>
    <t xml:space="preserve">「週の記録」シートに毎週の予定時間と実績時間を入れてください。2週続けて7割未満なら計画の量を減らす目安です。</t>
  </si>
  <si>
    <t xml:space="preserve">「ボード」シートで、今どの段階にいるかと進み具合が分かります。</t>
  </si>
  <si>
    <t xml:space="preserve">凡例</t>
  </si>
  <si>
    <t xml:space="preserve">黄色のセル＝あなたが入力する欄（青字）</t>
  </si>
  <si>
    <t xml:space="preserve">白いセル＝自動計算（触らない）</t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</si>
  <si>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行目の数字は記入例（架空）です。上書きしてお使いください。</t>
    </r>
  </si>
  <si>
    <t xml:space="preserve">このシートは目安を可視化するもので、結果を保証するものではありません。氏名・口座番号・ID・パスワードなどは書かないでください。</t>
  </si>
  <si>
    <t xml:space="preserve">段階</t>
  </si>
  <si>
    <t xml:space="preserve">内容</t>
  </si>
  <si>
    <t xml:space="preserve">目安の時期</t>
  </si>
  <si>
    <t xml:space="preserve">状態（未着手／進行中／達成）</t>
  </si>
  <si>
    <t xml:space="preserve">M1</t>
  </si>
  <si>
    <t xml:space="preserve">商業簿記の基礎</t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</si>
  <si>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月</t>
    </r>
  </si>
  <si>
    <t xml:space="preserve">達成</t>
  </si>
  <si>
    <t xml:space="preserve">M2</t>
  </si>
  <si>
    <t xml:space="preserve">工業簿記</t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</si>
  <si>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月</t>
    </r>
  </si>
  <si>
    <t xml:space="preserve">進行中</t>
  </si>
  <si>
    <t xml:space="preserve">M3</t>
  </si>
  <si>
    <t xml:space="preserve">過去問演習</t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</si>
  <si>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月</t>
    </r>
  </si>
  <si>
    <t xml:space="preserve">未着手</t>
  </si>
  <si>
    <t xml:space="preserve">ゴール</t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</si>
  <si>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Noto Sans CJK SC"/>
        <family val="2"/>
      </rPr>
      <t xml:space="preserve">月の試験で合格基準に届く力をつける</t>
    </r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</si>
  <si>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Noto Sans CJK SC"/>
        <family val="2"/>
      </rPr>
      <t xml:space="preserve">月</t>
    </r>
  </si>
  <si>
    <t xml:space="preserve">※ 架空の記入例（簿記2級）です。</t>
  </si>
  <si>
    <t xml:space="preserve">週</t>
  </si>
  <si>
    <t xml:space="preserve">予定時間</t>
  </si>
  <si>
    <t xml:space="preserve">実績時間</t>
  </si>
  <si>
    <t xml:space="preserve">達成率</t>
  </si>
  <si>
    <t xml:space="preserve">判定</t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</si>
  <si>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週目</t>
    </r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</si>
  <si>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週目</t>
    </r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</si>
  <si>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週目</t>
    </r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</si>
  <si>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Noto Sans CJK SC"/>
        <family val="2"/>
      </rPr>
      <t xml:space="preserve">週目</t>
    </r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</si>
  <si>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週目</t>
    </r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</si>
  <si>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Noto Sans CJK SC"/>
        <family val="2"/>
      </rPr>
      <t xml:space="preserve">週目</t>
    </r>
  </si>
  <si>
    <r>
      <rPr>
        <sz val="11"/>
        <color rgb="FF0000FF"/>
        <rFont val="Arial"/>
        <family val="0"/>
        <charset val="1"/>
      </rPr>
      <t xml:space="preserve">7</t>
    </r>
    <r>
      <rPr>
        <sz val="11"/>
        <color rgb="FF0000FF"/>
        <rFont val="Noto Sans CJK SC"/>
        <family val="2"/>
      </rPr>
      <t xml:space="preserve">週目</t>
    </r>
  </si>
  <si>
    <r>
      <rPr>
        <sz val="11"/>
        <color rgb="FF0000FF"/>
        <rFont val="Arial"/>
        <family val="0"/>
        <charset val="1"/>
      </rPr>
      <t xml:space="preserve">8</t>
    </r>
    <r>
      <rPr>
        <sz val="11"/>
        <color rgb="FF0000FF"/>
        <rFont val="Noto Sans CJK SC"/>
        <family val="2"/>
      </rPr>
      <t xml:space="preserve">週目</t>
    </r>
  </si>
  <si>
    <t xml:space="preserve">※ 架空の記入例です。</t>
  </si>
  <si>
    <t xml:space="preserve">現在地ボード：目標達成</t>
  </si>
  <si>
    <t xml:space="preserve">段階の数</t>
  </si>
  <si>
    <t xml:space="preserve">達成した段階</t>
  </si>
  <si>
    <t xml:space="preserve">進み具合</t>
  </si>
  <si>
    <t xml:space="preserve">今いる段階</t>
  </si>
  <si>
    <t xml:space="preserve">直近の週の達成率</t>
  </si>
  <si>
    <t xml:space="preserve">計画を見直す目安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</si>
</sst>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6F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2CC"/>
      <rgbColor rgb="FFDDE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週ごとの予定と実績（時間）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週の記録!B1</c:f>
              <c:strCache>
                <c:ptCount val="1"/>
                <c:pt idx="0">
                  <c:v>予定時間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週の記録!$A$2:$A$9</c:f>
              <c:strCache>
                <c:ptCount val="8"/>
                <c:pt idx="0">
                  <c:v>1週目</c:v>
                </c:pt>
                <c:pt idx="1">
                  <c:v>2週目</c:v>
                </c:pt>
                <c:pt idx="2">
                  <c:v>3週目</c:v>
                </c:pt>
                <c:pt idx="3">
                  <c:v>4週目</c:v>
                </c:pt>
                <c:pt idx="4">
                  <c:v>5週目</c:v>
                </c:pt>
                <c:pt idx="5">
                  <c:v>6週目</c:v>
                </c:pt>
                <c:pt idx="6">
                  <c:v>7週目</c:v>
                </c:pt>
                <c:pt idx="7">
                  <c:v>8週目</c:v>
                </c:pt>
              </c:strCache>
            </c:strRef>
          </c:cat>
          <c:val>
            <c:numRef>
              <c:f>週の記録!$B$2:$B$9</c:f>
              <c:numCache>
                <c:formatCode>General</c:formatCode>
                <c:ptCount val="8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</c:numCache>
            </c:numRef>
          </c:val>
        </c:ser>
        <c:ser>
          <c:idx val="1"/>
          <c:order val="1"/>
          <c:tx>
            <c:strRef>
              <c:f>週の記録!C1</c:f>
              <c:strCache>
                <c:ptCount val="1"/>
                <c:pt idx="0">
                  <c:v>実績時間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週の記録!$A$2:$A$9</c:f>
              <c:strCache>
                <c:ptCount val="8"/>
                <c:pt idx="0">
                  <c:v>1週目</c:v>
                </c:pt>
                <c:pt idx="1">
                  <c:v>2週目</c:v>
                </c:pt>
                <c:pt idx="2">
                  <c:v>3週目</c:v>
                </c:pt>
                <c:pt idx="3">
                  <c:v>4週目</c:v>
                </c:pt>
                <c:pt idx="4">
                  <c:v>5週目</c:v>
                </c:pt>
                <c:pt idx="5">
                  <c:v>6週目</c:v>
                </c:pt>
                <c:pt idx="6">
                  <c:v>7週目</c:v>
                </c:pt>
                <c:pt idx="7">
                  <c:v>8週目</c:v>
                </c:pt>
              </c:strCache>
            </c:strRef>
          </c:cat>
          <c:val>
            <c:numRef>
              <c:f>週の記録!$C$2:$C$9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86996598"/>
        <c:axId val="76163747"/>
      </c:barChart>
      <c:catAx>
        <c:axId val="869965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63747"/>
        <c:crosses val="autoZero"/>
        <c:auto val="1"/>
        <c:lblAlgn val="ctr"/>
        <c:lblOffset val="100"/>
        <c:noMultiLvlLbl val="0"/>
      </c:catAx>
      <c:valAx>
        <c:axId val="76163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965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133560</xdr:rowOff>
    </xdr:from>
    <xdr:to>
      <xdr:col>4</xdr:col>
      <xdr:colOff>181440</xdr:colOff>
      <xdr:row>24</xdr:row>
      <xdr:rowOff>155160</xdr:rowOff>
    </xdr:to>
    <xdr:graphicFrame>
      <xdr:nvGraphicFramePr>
        <xdr:cNvPr id="0" name="Chart 1"/>
        <xdr:cNvGraphicFramePr/>
      </xdr:nvGraphicFramePr>
      <xdr:xfrm>
        <a:off x="0" y="1895760"/>
        <a:ext cx="647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6.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3" t="s">
        <v>6</v>
      </c>
    </row>
    <row r="10" customFormat="false" ht="16.5" hidden="false" customHeight="true" outlineLevel="0" collapsed="false">
      <c r="A10" s="6" t="s">
        <v>7</v>
      </c>
    </row>
    <row r="12" customFormat="false" ht="16.5" hidden="false" customHeight="tru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26"/>
  </cols>
  <sheetData>
    <row r="1" customFormat="false" ht="32.25" hidden="false" customHeight="true" outlineLevel="0" collapsed="false">
      <c r="A1" s="7" t="s">
        <v>9</v>
      </c>
      <c r="B1" s="7" t="s">
        <v>10</v>
      </c>
      <c r="C1" s="7" t="s">
        <v>11</v>
      </c>
      <c r="D1" s="7" t="s">
        <v>12</v>
      </c>
    </row>
    <row r="2" customFormat="false" ht="16.5" hidden="false" customHeight="true" outlineLevel="0" collapsed="false">
      <c r="A2" s="8" t="s">
        <v>13</v>
      </c>
      <c r="B2" s="9" t="s">
        <v>14</v>
      </c>
      <c r="C2" s="8" t="s">
        <v>15</v>
      </c>
      <c r="D2" s="9" t="s">
        <v>16</v>
      </c>
    </row>
    <row r="3" customFormat="false" ht="16.5" hidden="false" customHeight="true" outlineLevel="0" collapsed="false">
      <c r="A3" s="8" t="s">
        <v>17</v>
      </c>
      <c r="B3" s="9" t="s">
        <v>18</v>
      </c>
      <c r="C3" s="8" t="s">
        <v>19</v>
      </c>
      <c r="D3" s="9" t="s">
        <v>20</v>
      </c>
    </row>
    <row r="4" customFormat="false" ht="16.5" hidden="false" customHeight="true" outlineLevel="0" collapsed="false">
      <c r="A4" s="8" t="s">
        <v>21</v>
      </c>
      <c r="B4" s="9" t="s">
        <v>22</v>
      </c>
      <c r="C4" s="8" t="s">
        <v>23</v>
      </c>
      <c r="D4" s="9" t="s">
        <v>24</v>
      </c>
    </row>
    <row r="5" customFormat="false" ht="16.5" hidden="false" customHeight="true" outlineLevel="0" collapsed="false">
      <c r="A5" s="9" t="s">
        <v>25</v>
      </c>
      <c r="B5" s="8" t="s">
        <v>26</v>
      </c>
      <c r="C5" s="8" t="s">
        <v>27</v>
      </c>
      <c r="D5" s="9" t="s">
        <v>24</v>
      </c>
    </row>
    <row r="7" customFormat="false" ht="16.5" hidden="false" customHeight="true" outlineLevel="0" collapsed="false">
      <c r="A7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12"/>
  </cols>
  <sheetData>
    <row r="1" customFormat="false" ht="16.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</row>
    <row r="2" customFormat="false" ht="16.5" hidden="false" customHeight="true" outlineLevel="0" collapsed="false">
      <c r="A2" s="8" t="s">
        <v>34</v>
      </c>
      <c r="B2" s="9" t="n">
        <v>9</v>
      </c>
      <c r="C2" s="9" t="n">
        <v>8</v>
      </c>
      <c r="D2" s="10" t="n">
        <f aca="false">IF(C2="","",C2/B2)</f>
        <v>0.888888888888889</v>
      </c>
      <c r="E2" s="11" t="str">
        <f aca="false">IF(D2="","",IF(D2&lt;0.7,"7割未満","OK"))</f>
        <v>OK</v>
      </c>
    </row>
    <row r="3" customFormat="false" ht="16.5" hidden="false" customHeight="true" outlineLevel="0" collapsed="false">
      <c r="A3" s="8" t="s">
        <v>35</v>
      </c>
      <c r="B3" s="9" t="n">
        <v>9</v>
      </c>
      <c r="C3" s="9" t="n">
        <v>6</v>
      </c>
      <c r="D3" s="10" t="n">
        <f aca="false">IF(C3="","",C3/B3)</f>
        <v>0.666666666666667</v>
      </c>
      <c r="E3" s="11" t="str">
        <f aca="false">IF(D3="","",IF(D3&lt;0.7,"7割未満","OK"))</f>
        <v>7割未満</v>
      </c>
    </row>
    <row r="4" customFormat="false" ht="16.5" hidden="false" customHeight="true" outlineLevel="0" collapsed="false">
      <c r="A4" s="8" t="s">
        <v>36</v>
      </c>
      <c r="B4" s="9" t="n">
        <v>9</v>
      </c>
      <c r="C4" s="9" t="n">
        <v>5</v>
      </c>
      <c r="D4" s="10" t="n">
        <f aca="false">IF(C4="","",C4/B4)</f>
        <v>0.555555555555556</v>
      </c>
      <c r="E4" s="11" t="str">
        <f aca="false">IF(D4="","",IF(D4&lt;0.7,"7割未満","OK"))</f>
        <v>7割未満</v>
      </c>
    </row>
    <row r="5" customFormat="false" ht="16.5" hidden="false" customHeight="true" outlineLevel="0" collapsed="false">
      <c r="A5" s="8" t="s">
        <v>37</v>
      </c>
      <c r="B5" s="9" t="n">
        <v>9</v>
      </c>
      <c r="C5" s="9" t="n">
        <v>8</v>
      </c>
      <c r="D5" s="10" t="n">
        <f aca="false">IF(C5="","",C5/B5)</f>
        <v>0.888888888888889</v>
      </c>
      <c r="E5" s="11" t="str">
        <f aca="false">IF(D5="","",IF(D5&lt;0.7,"7割未満","OK"))</f>
        <v>OK</v>
      </c>
    </row>
    <row r="6" customFormat="false" ht="16.5" hidden="false" customHeight="true" outlineLevel="0" collapsed="false">
      <c r="A6" s="8" t="s">
        <v>38</v>
      </c>
      <c r="B6" s="9" t="n">
        <v>9</v>
      </c>
      <c r="C6" s="9"/>
      <c r="D6" s="10" t="str">
        <f aca="false">IF(C6="","",C6/B6)</f>
        <v/>
      </c>
      <c r="E6" s="11" t="str">
        <f aca="false">IF(D6="","",IF(D6&lt;0.7,"7割未満","OK"))</f>
        <v/>
      </c>
    </row>
    <row r="7" customFormat="false" ht="16.5" hidden="false" customHeight="true" outlineLevel="0" collapsed="false">
      <c r="A7" s="8" t="s">
        <v>39</v>
      </c>
      <c r="B7" s="9" t="n">
        <v>9</v>
      </c>
      <c r="C7" s="9"/>
      <c r="D7" s="10" t="str">
        <f aca="false">IF(C7="","",C7/B7)</f>
        <v/>
      </c>
      <c r="E7" s="11" t="str">
        <f aca="false">IF(D7="","",IF(D7&lt;0.7,"7割未満","OK"))</f>
        <v/>
      </c>
    </row>
    <row r="8" customFormat="false" ht="16.5" hidden="false" customHeight="true" outlineLevel="0" collapsed="false">
      <c r="A8" s="8" t="s">
        <v>40</v>
      </c>
      <c r="B8" s="9" t="n">
        <v>9</v>
      </c>
      <c r="C8" s="9"/>
      <c r="D8" s="10" t="str">
        <f aca="false">IF(C8="","",C8/B8)</f>
        <v/>
      </c>
      <c r="E8" s="11" t="str">
        <f aca="false">IF(D8="","",IF(D8&lt;0.7,"7割未満","OK"))</f>
        <v/>
      </c>
    </row>
    <row r="9" customFormat="false" ht="16.5" hidden="false" customHeight="true" outlineLevel="0" collapsed="false">
      <c r="A9" s="8" t="s">
        <v>41</v>
      </c>
      <c r="B9" s="9" t="n">
        <v>9</v>
      </c>
      <c r="C9" s="9"/>
      <c r="D9" s="10" t="str">
        <f aca="false">IF(C9="","",C9/B9)</f>
        <v/>
      </c>
      <c r="E9" s="11" t="str">
        <f aca="false">IF(D9="","",IF(D9&lt;0.7,"7割未満","OK"))</f>
        <v/>
      </c>
    </row>
    <row r="11" customFormat="false" ht="15" hidden="false" customHeight="true" outlineLevel="0" collapsed="false">
      <c r="A11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</cols>
  <sheetData>
    <row r="1" customFormat="false" ht="17.25" hidden="false" customHeight="true" outlineLevel="0" collapsed="false">
      <c r="A1" s="2" t="s">
        <v>43</v>
      </c>
    </row>
    <row r="3" customFormat="false" ht="15" hidden="false" customHeight="true" outlineLevel="0" collapsed="false">
      <c r="A3" s="12" t="s">
        <v>44</v>
      </c>
      <c r="B3" s="13" t="n">
        <f aca="false">COUNTA(段階!A2:A6)</f>
        <v>4</v>
      </c>
    </row>
    <row r="4" customFormat="false" ht="15" hidden="false" customHeight="true" outlineLevel="0" collapsed="false">
      <c r="A4" s="12" t="s">
        <v>45</v>
      </c>
      <c r="B4" s="13" t="n">
        <f aca="false">COUNTIF(段階!D2:D6,"達成")</f>
        <v>1</v>
      </c>
    </row>
    <row r="5" customFormat="false" ht="15" hidden="false" customHeight="true" outlineLevel="0" collapsed="false">
      <c r="A5" s="12" t="s">
        <v>46</v>
      </c>
      <c r="B5" s="10" t="n">
        <f aca="false">IFERROR(B4/B3,"")</f>
        <v>0.25</v>
      </c>
    </row>
    <row r="6" customFormat="false" ht="15" hidden="false" customHeight="true" outlineLevel="0" collapsed="false">
      <c r="A6" s="12" t="s">
        <v>47</v>
      </c>
      <c r="B6" s="11" t="str">
        <f aca="false">IFERROR(INDEX(段階!A2:A6,MATCH("進行中",段階!D2:D6,0)),"—")</f>
        <v>M2</v>
      </c>
    </row>
    <row r="7" customFormat="false" ht="15" hidden="false" customHeight="true" outlineLevel="0" collapsed="false">
      <c r="A7" s="12" t="s">
        <v>48</v>
      </c>
      <c r="B7" s="10" t="n">
        <f aca="false">IFERROR(LOOKUP(2,1/(週の記録!D2:D9&lt;&gt;""),週の記録!D2:D9),"")</f>
        <v>0.888888888888889</v>
      </c>
    </row>
    <row r="8" customFormat="false" ht="16.5" hidden="false" customHeight="true" outlineLevel="0" collapsed="false">
      <c r="A8" s="12" t="s">
        <v>49</v>
      </c>
      <c r="B8" s="11" t="str">
        <f aca="false">IF(SUMPRODUCT((週の記録!E2:E8="7割未満")*(週の記録!E3:E9="7割未満"))&gt;0,"7割未満が2週続いた：量を減らすか期限の見直しを検討","このままでOK")</f>
        <v>7割未満が2週続いた：量を減らすか期限の見直しを検討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2026-10-30T02:58:02Z</dcterms:created>
  <dc:creator>openpyxl</dc:creator>
  <dc:description/>
  <dc:language>en-US</dc:language>
  <cp:lastModifiedBy/>
  <dcterms:modified xsi:type="dcterms:W3CDTF">2026-10-30T11:58:21Z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
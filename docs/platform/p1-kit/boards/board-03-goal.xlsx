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前提" sheetId="2" state="visible" r:id="rId4"/>
    <sheet name="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<sst xmlns="http://schemas.openxmlformats.org/spreadsheetml/2006/main" count="44" uniqueCount="44">
  <si>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③ 現在地ボード：目標達成ロードマップ</t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</si>
  <si>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回、「記録」シートの「実績」に、その月までの累計の取り組み時間（勉強時間など）を入れてください。</t>
    </r>
  </si>
  <si>
    <t xml:space="preserve">入れると、現在地・進み具合・必要なペース・期限内に届く見込みが自動で計算され、残りの月の予定と、各段階に到達する見込みの時期が作り直されます。</t>
  </si>
  <si>
    <t xml:space="preserve">「前提」と「段階」は初回の計画書から転記します。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</si>
  <si>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</si>
  <si>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</si>
  <si>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</si>
  <si>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</si>
  <si>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</si>
  <si>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</si>
  <si>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</si>
  <si>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t xml:space="preserve">累計の取り組み時間：最初の値（時間）</t>
  </si>
  <si>
    <t xml:space="preserve">累計の取り組み時間：目標の値（時間）</t>
  </si>
  <si>
    <t xml:space="preserve">期限までの月数</t>
  </si>
  <si>
    <t xml:space="preserve">月</t>
  </si>
  <si>
    <t xml:space="preserve">当初の計画（時間）</t>
  </si>
  <si>
    <t xml:space="preserve">実績（時間）※入力</t>
  </si>
  <si>
    <t xml:space="preserve">更新後の予定（時間）</t>
  </si>
  <si>
    <t xml:space="preserve">今のペースが続いた場合（時間）</t>
  </si>
  <si>
    <t xml:space="preserve">※ 入力するのは「実績」の列だけです。月ごとに上から順に入れてください。</t>
  </si>
  <si>
    <t xml:space="preserve">現在地ボード：目標達成ロードマップ</t>
  </si>
  <si>
    <t xml:space="preserve">現在地</t>
  </si>
  <si>
    <t xml:space="preserve">最後に実績を入れた月</t>
  </si>
  <si>
    <t xml:space="preserve">現在の累計の取り組み時間（時間）</t>
  </si>
  <si>
    <t xml:space="preserve">目標（時間）</t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</si>
  <si>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</si>
  <si>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</si>
  <si>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</si>
  <si>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</si>
  <si>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か月あたりの平均の変化（時間）</t>
    </r>
  </si>
  <si>
    <t xml:space="preserve">今のペースで目標に届く見込み（過去の数値を直線で延ばした参考計算）</t>
  </si>
  <si>
    <t xml:space="preserve">入力のチェック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</si>
  <si>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</si>
  <si>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</si>
  <si>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t xml:space="preserve">段階（マイルストーン）の見込み</t>
  </si>
  <si>
    <t xml:space="preserve">段階</t>
  </si>
  <si>
    <t xml:space="preserve">到達の目安（累計時間）</t>
  </si>
  <si>
    <t xml:space="preserve">状態</t>
  </si>
  <si>
    <t xml:space="preserve">今のペースで到達する見込み</t>
  </si>
  <si>
    <r>
      <rPr>
        <sz val="11"/>
        <color rgb="FF0000FF"/>
        <rFont val="Arial"/>
        <family val="0"/>
        <charset val="1"/>
      </rPr>
      <t xml:space="preserve">M1 </t>
    </r>
    <r>
      <rPr>
        <sz val="11"/>
        <color rgb="FF0000FF"/>
        <rFont val="Noto Sans CJK SC"/>
        <family val="2"/>
      </rPr>
      <t xml:space="preserve">商業簿記の基礎</t>
    </r>
  </si>
  <si>
    <r>
      <rPr>
        <sz val="11"/>
        <color rgb="FF0000FF"/>
        <rFont val="Arial"/>
        <family val="0"/>
        <charset val="1"/>
      </rPr>
      <t xml:space="preserve">M2 </t>
    </r>
    <r>
      <rPr>
        <sz val="11"/>
        <color rgb="FF0000FF"/>
        <rFont val="Noto Sans CJK SC"/>
        <family val="2"/>
      </rPr>
      <t xml:space="preserve">工業簿記</t>
    </r>
  </si>
  <si>
    <r>
      <rPr>
        <sz val="11"/>
        <color rgb="FF0000FF"/>
        <rFont val="Arial"/>
        <family val="0"/>
        <charset val="1"/>
      </rPr>
      <t xml:space="preserve">M3 </t>
    </r>
    <r>
      <rPr>
        <sz val="11"/>
        <color rgb="FF0000FF"/>
        <rFont val="Noto Sans CJK SC"/>
        <family val="2"/>
      </rPr>
      <t xml:space="preserve">過去問演習</t>
    </r>
  </si>
  <si>
    <t xml:space="preserve">ゴール 受験</t>
  </si>
  <si>
    <r>
      <rPr>
        <sz val="11"/>
        <rFont val="Noto Sans CJK SC"/>
        <family val="2"/>
      </rPr>
      <t xml:space="preserve">※ 架空の記入例（簿記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級、合計</t>
    </r>
    <r>
      <rPr>
        <sz val="11"/>
        <rFont val="Arial"/>
        <family val="0"/>
        <charset val="1"/>
      </rPr>
      <t xml:space="preserve">250</t>
    </r>
    <r>
      <rPr>
        <sz val="11"/>
        <rFont val="Noto Sans CJK SC"/>
        <family val="2"/>
      </rPr>
      <t xml:space="preserve">時間と仮定）。段階と目安は初回の計画書から転記します。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</si>
</sst>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DDE6F5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記録!B1</c:f>
              <c:strCache>
                <c:ptCount val="1"/>
                <c:pt idx="0">
                  <c:v>当初の計画（時間）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記録!C1</c:f>
              <c:strCache>
                <c:ptCount val="1"/>
                <c:pt idx="0">
                  <c:v>実績（時間）※入力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記録!$C$2:$C$8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記録!D1</c:f>
              <c:strCache>
                <c:ptCount val="1"/>
                <c:pt idx="0">
                  <c:v>更新後の予定（時間）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359613"/>
        <c:axId val="3088272"/>
      </c:lineChart>
      <c:catAx>
        <c:axId val="2335961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8272"/>
        <c:crosses val="autoZero"/>
        <c:auto val="1"/>
        <c:lblAlgn val="ctr"/>
        <c:lblOffset val="100"/>
        <c:noMultiLvlLbl val="0"/>
      </c:catAx>
      <c:valAx>
        <c:axId val="30882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596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16</xdr:col>
      <xdr:colOff>473040</xdr:colOff>
      <xdr:row>15</xdr:row>
      <xdr:rowOff>62640</xdr:rowOff>
    </xdr:to>
    <xdr:graphicFrame>
      <xdr:nvGraphicFramePr>
        <xdr:cNvPr id="0" name="Chart 1"/>
        <xdr:cNvGraphicFramePr/>
      </xdr:nvGraphicFramePr>
      <xdr:xfrm>
        <a:off x="949248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3" customFormat="false" ht="17.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10</v>
      </c>
    </row>
    <row r="2" customFormat="false" ht="17.15" hidden="false" customHeight="false" outlineLevel="0" collapsed="false">
      <c r="A2" s="6" t="s">
        <v>11</v>
      </c>
      <c r="B2" s="7" t="n">
        <v>0</v>
      </c>
    </row>
    <row r="3" customFormat="false" ht="17.15" hidden="false" customHeight="false" outlineLevel="0" collapsed="false">
      <c r="A3" s="6" t="s">
        <v>12</v>
      </c>
      <c r="B3" s="7" t="n">
        <v>250</v>
      </c>
    </row>
    <row r="4" customFormat="false" ht="17.15" hidden="false" customHeight="false" outlineLevel="0" collapsed="false">
      <c r="A4" s="6" t="s">
        <v>13</v>
      </c>
      <c r="B4" s="7" t="n">
        <v>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</row>
    <row r="2" customFormat="false" ht="15" hidden="false" customHeight="false" outlineLevel="0" collapsed="false">
      <c r="A2" s="9" t="n">
        <v>1</v>
      </c>
      <c r="B2" s="9" t="n">
        <f aca="false">前提!$B$2+(前提!$B$3-前提!$B$2)*A2/前提!$B$4</f>
        <v>35.7142857142857</v>
      </c>
      <c r="C2" s="7" t="n">
        <v>30</v>
      </c>
      <c r="D2" s="9" t="str">
        <f aca="false">IFERROR(IF(OR(ボード!$B$4="",ボード!$B$10="",A2&lt;=ボード!$B$4),"",ボード!$B$5+ボード!$B$10*(A2-ボード!$B$4)),"")</f>
        <v/>
      </c>
      <c r="E2" s="9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9" t="n">
        <v>2</v>
      </c>
      <c r="B3" s="9" t="n">
        <f aca="false">前提!$B$2+(前提!$B$3-前提!$B$2)*A3/前提!$B$4</f>
        <v>71.4285714285714</v>
      </c>
      <c r="C3" s="7" t="n">
        <v>55</v>
      </c>
      <c r="D3" s="9" t="str">
        <f aca="false">IFERROR(IF(OR(ボード!$B$4="",ボード!$B$10="",A3&lt;=ボード!$B$4),"",ボード!$B$5+ボード!$B$10*(A3-ボード!$B$4)),"")</f>
        <v/>
      </c>
      <c r="E3" s="9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9" t="n">
        <v>3</v>
      </c>
      <c r="B4" s="9" t="n">
        <f aca="false">前提!$B$2+(前提!$B$3-前提!$B$2)*A4/前提!$B$4</f>
        <v>107.142857142857</v>
      </c>
      <c r="C4" s="7" t="n">
        <v>80</v>
      </c>
      <c r="D4" s="9" t="str">
        <f aca="false">IFERROR(IF(OR(ボード!$B$4="",ボード!$B$10="",A4&lt;=ボード!$B$4),"",ボード!$B$5+ボード!$B$10*(A4-ボード!$B$4)),"")</f>
        <v/>
      </c>
      <c r="E4" s="9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9" t="n">
        <v>4</v>
      </c>
      <c r="B5" s="9" t="n">
        <f aca="false">前提!$B$2+(前提!$B$3-前提!$B$2)*A5/前提!$B$4</f>
        <v>142.857142857143</v>
      </c>
      <c r="C5" s="7"/>
      <c r="D5" s="9" t="n">
        <f aca="false">IFERROR(IF(OR(ボード!$B$4="",ボード!$B$10="",A5&lt;=ボード!$B$4),"",ボード!$B$5+ボード!$B$10*(A5-ボード!$B$4)),"")</f>
        <v>122.5</v>
      </c>
      <c r="E5" s="9" t="n">
        <f aca="false">IFERROR(IF(OR(ボード!$B$4="",A5&lt;=ボード!$B$4,ボード!$B$11=""),"",ボード!$B$5+ボード!$B$11*(A5-ボード!$B$4)),"")</f>
        <v>106.666666666667</v>
      </c>
    </row>
    <row r="6" customFormat="false" ht="15" hidden="false" customHeight="false" outlineLevel="0" collapsed="false">
      <c r="A6" s="9" t="n">
        <v>5</v>
      </c>
      <c r="B6" s="9" t="n">
        <f aca="false">前提!$B$2+(前提!$B$3-前提!$B$2)*A6/前提!$B$4</f>
        <v>178.571428571429</v>
      </c>
      <c r="C6" s="7"/>
      <c r="D6" s="9" t="n">
        <f aca="false">IFERROR(IF(OR(ボード!$B$4="",ボード!$B$10="",A6&lt;=ボード!$B$4),"",ボード!$B$5+ボード!$B$10*(A6-ボード!$B$4)),"")</f>
        <v>165</v>
      </c>
      <c r="E6" s="9" t="n">
        <f aca="false">IFERROR(IF(OR(ボード!$B$4="",A6&lt;=ボード!$B$4,ボード!$B$11=""),"",ボード!$B$5+ボード!$B$11*(A6-ボード!$B$4)),"")</f>
        <v>133.333333333333</v>
      </c>
    </row>
    <row r="7" customFormat="false" ht="15" hidden="false" customHeight="false" outlineLevel="0" collapsed="false">
      <c r="A7" s="9" t="n">
        <v>6</v>
      </c>
      <c r="B7" s="9" t="n">
        <f aca="false">前提!$B$2+(前提!$B$3-前提!$B$2)*A7/前提!$B$4</f>
        <v>214.285714285714</v>
      </c>
      <c r="C7" s="7"/>
      <c r="D7" s="9" t="n">
        <f aca="false">IFERROR(IF(OR(ボード!$B$4="",ボード!$B$10="",A7&lt;=ボード!$B$4),"",ボード!$B$5+ボード!$B$10*(A7-ボード!$B$4)),"")</f>
        <v>207.5</v>
      </c>
      <c r="E7" s="9" t="n">
        <f aca="false">IFERROR(IF(OR(ボード!$B$4="",A7&lt;=ボード!$B$4,ボード!$B$11=""),"",ボード!$B$5+ボード!$B$11*(A7-ボード!$B$4)),"")</f>
        <v>160</v>
      </c>
    </row>
    <row r="8" customFormat="false" ht="15" hidden="false" customHeight="false" outlineLevel="0" collapsed="false">
      <c r="A8" s="9" t="n">
        <v>7</v>
      </c>
      <c r="B8" s="9" t="n">
        <f aca="false">前提!$B$2+(前提!$B$3-前提!$B$2)*A8/前提!$B$4</f>
        <v>250</v>
      </c>
      <c r="C8" s="7"/>
      <c r="D8" s="9" t="n">
        <f aca="false">IFERROR(IF(OR(ボード!$B$4="",ボード!$B$10="",A8&lt;=ボード!$B$4),"",ボード!$B$5+ボード!$B$10*(A8-ボード!$B$4)),"")</f>
        <v>250</v>
      </c>
      <c r="E8" s="9" t="n">
        <f aca="false">IFERROR(IF(OR(ボード!$B$4="",A8&lt;=ボード!$B$4,ボード!$B$11=""),"",ボード!$B$5+ボード!$B$11*(A8-ボード!$B$4)),"")</f>
        <v>186.666666666667</v>
      </c>
    </row>
    <row r="10" customFormat="false" ht="15" hidden="false" customHeight="false" outlineLevel="0" collapsed="false">
      <c r="A10" s="2" t="s">
        <v>19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C2:C8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</v>
      </c>
    </row>
    <row r="3" customFormat="false" ht="15" hidden="false" customHeight="false" outlineLevel="0" collapsed="false">
      <c r="A3" s="3" t="s">
        <v>21</v>
      </c>
    </row>
    <row r="4" customFormat="false" ht="17.15" hidden="false" customHeight="false" outlineLevel="0" collapsed="false">
      <c r="A4" s="6" t="s">
        <v>22</v>
      </c>
      <c r="B4" s="9" t="n">
        <f aca="false">IF(COUNT(記録!C2:C8)=0,"",LOOKUP(2,1/(記録!C2:C8&lt;&gt;""),記録!A2:A8))</f>
        <v>3</v>
      </c>
    </row>
    <row r="5" customFormat="false" ht="17.15" hidden="false" customHeight="false" outlineLevel="0" collapsed="false">
      <c r="A5" s="6" t="s">
        <v>23</v>
      </c>
      <c r="B5" s="10" t="n">
        <f aca="false">IF(B4="","",LOOKUP(2,1/(記録!C2:C8&lt;&gt;""),記録!C2:C8))</f>
        <v>80</v>
      </c>
    </row>
    <row r="6" customFormat="false" ht="17.15" hidden="false" customHeight="false" outlineLevel="0" collapsed="false">
      <c r="A6" s="6" t="s">
        <v>24</v>
      </c>
      <c r="B6" s="9" t="n">
        <f aca="false">前提!B3</f>
        <v>250</v>
      </c>
    </row>
    <row r="7" customFormat="false" ht="17.15" hidden="false" customHeight="false" outlineLevel="0" collapsed="false">
      <c r="A7" s="6" t="s">
        <v>25</v>
      </c>
      <c r="B7" s="11" t="n">
        <f aca="false">IF(OR(B4="",(前提!B3-前提!B2)=0),"",(B5-前提!B2)/(前提!B3-前提!B2))</f>
        <v>0.32</v>
      </c>
    </row>
    <row r="8" customFormat="false" ht="17.15" hidden="false" customHeight="false" outlineLevel="0" collapsed="false">
      <c r="A8" s="6" t="s">
        <v>26</v>
      </c>
      <c r="B8" s="12" t="str">
        <f aca="false">IF(B4="","",IF((前提!B3-前提!B2)=0,"前提を確認（最初の値と目標が同じ）",IF((B5-INDEX(記録!B2:B8,B4))*SIGN((前提!B3-前提!B2))&gt;=0,"計画どおり、または先行","計画より遅れ")))</f>
        <v>計画より遅れ</v>
      </c>
    </row>
    <row r="9" customFormat="false" ht="17.15" hidden="false" customHeight="false" outlineLevel="0" collapsed="false">
      <c r="A9" s="6" t="s">
        <v>27</v>
      </c>
      <c r="B9" s="9" t="n">
        <f aca="false">IF(B4="","",前提!B4-B4)</f>
        <v>4</v>
      </c>
    </row>
    <row r="10" customFormat="false" ht="32.8" hidden="false" customHeight="false" outlineLevel="0" collapsed="false">
      <c r="A10" s="6" t="s">
        <v>28</v>
      </c>
      <c r="B10" s="10" t="n">
        <f aca="false">IF(OR(B4="",(前提!B3-前提!B2)=0),"",IF((前提!B3-B5)*SIGN((前提!B3-前提!B2))&lt;=0,0,IF(B9&lt;=0,"",(前提!B3-B5)/B9)))</f>
        <v>42.5</v>
      </c>
    </row>
    <row r="11" customFormat="false" ht="17.15" hidden="false" customHeight="false" outlineLevel="0" collapsed="false">
      <c r="A11" s="6" t="s">
        <v>29</v>
      </c>
      <c r="B11" s="9" t="n">
        <f aca="false">IF(COUNT(記録!C2:C8)&lt;2,"",(B5-前提!B2)/B4)</f>
        <v>26.6666666666667</v>
      </c>
    </row>
    <row r="12" customFormat="false" ht="32.8" hidden="false" customHeight="false" outlineLevel="0" collapsed="false">
      <c r="A12" s="6" t="s">
        <v>30</v>
      </c>
      <c r="B12" s="12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8)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期限より遅れる（10か月目ごろ）</v>
      </c>
    </row>
    <row r="13" customFormat="false" ht="17.15" hidden="false" customHeight="false" outlineLevel="0" collapsed="false">
      <c r="A13" s="6" t="s">
        <v>31</v>
      </c>
      <c r="B13" s="13" t="str">
        <f aca="false">IF(COUNTIF(記録!C2:C8,"&lt;0")&gt;0,"マイナスの値があります。確認してください",IF(B4="","実績を入力してください",IF(COUNT(記録!C2:C8)&lt;B4,"入力していない月があります（現在地は最後に入力した月で計算）","OK")))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3" t="s">
        <v>32</v>
      </c>
    </row>
    <row r="16" customFormat="false" ht="15" hidden="false" customHeight="false" outlineLevel="0" collapsed="false">
      <c r="A16" s="2" t="s">
        <v>33</v>
      </c>
    </row>
    <row r="18" customFormat="false" ht="15" hidden="false" customHeight="false" outlineLevel="0" collapsed="false">
      <c r="A18" s="3" t="s">
        <v>34</v>
      </c>
    </row>
    <row r="19" customFormat="false" ht="31.5" hidden="false" customHeight="true" outlineLevel="0" collapsed="false">
      <c r="A19" s="8" t="s">
        <v>35</v>
      </c>
      <c r="B19" s="8" t="s">
        <v>36</v>
      </c>
      <c r="C19" s="8" t="s">
        <v>37</v>
      </c>
      <c r="D19" s="8" t="s">
        <v>38</v>
      </c>
    </row>
    <row r="20" customFormat="false" ht="17.15" hidden="false" customHeight="false" outlineLevel="0" collapsed="false">
      <c r="A20" s="14" t="s">
        <v>39</v>
      </c>
      <c r="B20" s="7" t="n">
        <v>60</v>
      </c>
      <c r="C20" s="12" t="str">
        <f aca="false">IF(B$5="","",IF(B$5&gt;=B20,"達成","未達成"))</f>
        <v>達成</v>
      </c>
      <c r="D20" s="12" t="str">
        <f aca="false">IFERROR(IF(B$5="","",IF(B$5&gt;=B20,"—",IF(B$11="","記録が2か月分以上で表示",IF(B$11&lt;=0,"見込みなし",ROUNDUP(B$4+(B20-B$5)/B$11,0)&amp;"か月目ごろ")))),"")</f>
        <v>—</v>
      </c>
    </row>
    <row r="21" customFormat="false" ht="17.15" hidden="false" customHeight="false" outlineLevel="0" collapsed="false">
      <c r="A21" s="14" t="s">
        <v>40</v>
      </c>
      <c r="B21" s="7" t="n">
        <v>130</v>
      </c>
      <c r="C21" s="12" t="str">
        <f aca="false">IF(B$5="","",IF(B$5&gt;=B21,"達成","未達成"))</f>
        <v>未達成</v>
      </c>
      <c r="D21" s="12" t="str">
        <f aca="false">IFERROR(IF(B$5="","",IF(B$5&gt;=B21,"—",IF(B$11="","記録が2か月分以上で表示",IF(B$11&lt;=0,"見込みなし",ROUNDUP(B$4+(B21-B$5)/B$11,0)&amp;"か月目ごろ")))),"")</f>
        <v>5か月目ごろ</v>
      </c>
    </row>
    <row r="22" customFormat="false" ht="17.15" hidden="false" customHeight="false" outlineLevel="0" collapsed="false">
      <c r="A22" s="14" t="s">
        <v>41</v>
      </c>
      <c r="B22" s="7" t="n">
        <v>200</v>
      </c>
      <c r="C22" s="12" t="str">
        <f aca="false">IF(B$5="","",IF(B$5&gt;=B22,"達成","未達成"))</f>
        <v>未達成</v>
      </c>
      <c r="D22" s="12" t="str">
        <f aca="false">IFERROR(IF(B$5="","",IF(B$5&gt;=B22,"—",IF(B$11="","記録が2か月分以上で表示",IF(B$11&lt;=0,"見込みなし",ROUNDUP(B$4+(B22-B$5)/B$11,0)&amp;"か月目ごろ")))),"")</f>
        <v>8か月目ごろ</v>
      </c>
    </row>
    <row r="23" customFormat="false" ht="17.15" hidden="false" customHeight="false" outlineLevel="0" collapsed="false">
      <c r="A23" s="15" t="s">
        <v>42</v>
      </c>
      <c r="B23" s="7" t="n">
        <v>250</v>
      </c>
      <c r="C23" s="12" t="str">
        <f aca="false">IF(B$5="","",IF(B$5&gt;=B23,"達成","未達成"))</f>
        <v>未達成</v>
      </c>
      <c r="D23" s="12" t="str">
        <f aca="false">IFERROR(IF(B$5="","",IF(B$5&gt;=B23,"—",IF(B$11="","記録が2か月分以上で表示",IF(B$11&lt;=0,"見込みなし",ROUNDUP(B$4+(B23-B$5)/B$11,0)&amp;"か月目ごろ")))),"")</f>
        <v>10か月目ごろ</v>
      </c>
    </row>
    <row r="25" customFormat="false" ht="17.15" hidden="false" customHeight="false" outlineLevel="0" collapsed="false">
      <c r="A25" s="2" t="s">
        <v>43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0:B2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2026-10-30T03:39:02Z</dcterms:created>
  <dc:creator>openpyxl</dc:creator>
  <dc:description/>
  <dc:language>en-US</dc:language>
  <cp:lastModifiedBy/>
  <dcterms:modified xsi:type="dcterms:W3CDTF">2026-10-30T12:39:06Z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
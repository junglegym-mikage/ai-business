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前提" sheetId="3" state="visible" r:id="rId5"/>
    <sheet name="記録" sheetId="4" state="visible" r:id="rId6"/>
    <sheet name="ボー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<sst xmlns="http://schemas.openxmlformats.org/spreadsheetml/2006/main" count="63" uniqueCount="61">
  <si>
    <t xml:space="preserve">③ スマホで見る：目標達成ロードマップ</t>
  </si>
  <si>
    <t xml:space="preserve">■ 現在地</t>
  </si>
  <si>
    <t xml:space="preserve">現在地</t>
  </si>
  <si>
    <t xml:space="preserve">目標</t>
  </si>
  <si>
    <t xml:space="preserve">進み具合</t>
  </si>
  <si>
    <t xml:space="preserve">計画と比べて</t>
  </si>
  <si>
    <r>
      <rPr>
        <sz val="11"/>
        <rFont val="Noto Sans CJK SC"/>
        <family val="2"/>
      </rPr>
      <t xml:space="preserve">必要なペース（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か月あたり）</t>
    </r>
  </si>
  <si>
    <t xml:space="preserve">見込み（参考計算）</t>
  </si>
  <si>
    <t xml:space="preserve">入力のチェック</t>
  </si>
  <si>
    <t xml:space="preserve">単位：時間。見込みは過去の数値を直線で延ばした参考計算です。</t>
  </si>
  <si>
    <t xml:space="preserve">■ 毎月の数字を入れる：累計の取り組み時間（時間）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</si>
  <si>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</si>
  <si>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</si>
  <si>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</si>
  <si>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</si>
  <si>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</si>
  <si>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</si>
  <si>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か月目</t>
    </r>
  </si>
  <si>
    <t xml:space="preserve">■ 段階ごとの見込み</t>
  </si>
  <si>
    <t xml:space="preserve">③ 現在地ボード：目標達成ロードマップ</t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</si>
  <si>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回、「スマホ」シートの下にある「毎月の数字を入れる」欄に、その月までの累計の取り組み時間（勉強時間など）を入れてください。</t>
    </r>
  </si>
  <si>
    <t xml:space="preserve">入れると、現在地・進み具合・必要なペース・期限内に届く見込みが自動で計算され、残りの月の予定と、各段階に到達する見込みの時期が作り直されます。</t>
  </si>
  <si>
    <t xml:space="preserve">「前提」と「段階」は初回の計画書から転記します。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</si>
  <si>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</si>
  <si>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</si>
  <si>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</si>
  <si>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</si>
  <si>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</si>
  <si>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</si>
  <si>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</si>
  <si>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t xml:space="preserve">累計の取り組み時間：最初の値（時間）</t>
  </si>
  <si>
    <t xml:space="preserve">累計の取り組み時間：目標の値（時間）</t>
  </si>
  <si>
    <t xml:space="preserve">期限までの月数</t>
  </si>
  <si>
    <t xml:space="preserve">月</t>
  </si>
  <si>
    <t xml:space="preserve">当初の計画（時間）</t>
  </si>
  <si>
    <t xml:space="preserve">実績（時間）※スマホのシートから自動</t>
  </si>
  <si>
    <t xml:space="preserve">更新後の予定（時間）</t>
  </si>
  <si>
    <t xml:space="preserve">今のペースが続いた場合（時間）</t>
  </si>
  <si>
    <t xml:space="preserve">※ 実績は「スマホ」シートで入力します（この列は自動）。</t>
  </si>
  <si>
    <t xml:space="preserve">現在地ボード：目標達成ロードマップ</t>
  </si>
  <si>
    <t xml:space="preserve">最後に実績を入れた月</t>
  </si>
  <si>
    <t xml:space="preserve">現在の累計の取り組み時間（時間）</t>
  </si>
  <si>
    <t xml:space="preserve">目標（時間）</t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</si>
  <si>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</si>
  <si>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</si>
  <si>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</si>
  <si>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</si>
  <si>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か月あたりの平均の変化（時間）</t>
    </r>
  </si>
  <si>
    <t xml:space="preserve">今のペースで目標に届く見込み（過去の数値を直線で延ばした参考計算）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</si>
  <si>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</si>
  <si>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</si>
  <si>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t xml:space="preserve">段階（マイルストーン）の見込み</t>
  </si>
  <si>
    <t xml:space="preserve">段階</t>
  </si>
  <si>
    <t xml:space="preserve">到達の目安（累計時間）</t>
  </si>
  <si>
    <t xml:space="preserve">状態</t>
  </si>
  <si>
    <t xml:space="preserve">今のペースで到達する見込み</t>
  </si>
  <si>
    <r>
      <rPr>
        <sz val="11"/>
        <color rgb="FF0000FF"/>
        <rFont val="Arial"/>
        <family val="0"/>
        <charset val="1"/>
      </rPr>
      <t xml:space="preserve">M1 </t>
    </r>
    <r>
      <rPr>
        <sz val="11"/>
        <color rgb="FF0000FF"/>
        <rFont val="Noto Sans CJK SC"/>
        <family val="2"/>
      </rPr>
      <t xml:space="preserve">商業簿記の基礎</t>
    </r>
  </si>
  <si>
    <r>
      <rPr>
        <sz val="11"/>
        <color rgb="FF0000FF"/>
        <rFont val="Arial"/>
        <family val="0"/>
        <charset val="1"/>
      </rPr>
      <t xml:space="preserve">M2 </t>
    </r>
    <r>
      <rPr>
        <sz val="11"/>
        <color rgb="FF0000FF"/>
        <rFont val="Noto Sans CJK SC"/>
        <family val="2"/>
      </rPr>
      <t xml:space="preserve">工業簿記</t>
    </r>
  </si>
  <si>
    <r>
      <rPr>
        <sz val="11"/>
        <color rgb="FF0000FF"/>
        <rFont val="Arial"/>
        <family val="0"/>
        <charset val="1"/>
      </rPr>
      <t xml:space="preserve">M3 </t>
    </r>
    <r>
      <rPr>
        <sz val="11"/>
        <color rgb="FF0000FF"/>
        <rFont val="Noto Sans CJK SC"/>
        <family val="2"/>
      </rPr>
      <t xml:space="preserve">過去問演習</t>
    </r>
  </si>
  <si>
    <t xml:space="preserve">ゴール 受験</t>
  </si>
  <si>
    <r>
      <rPr>
        <sz val="11"/>
        <rFont val="Noto Sans CJK SC"/>
        <family val="2"/>
      </rPr>
      <t xml:space="preserve">※ 架空の記入例（簿記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級、合計</t>
    </r>
    <r>
      <rPr>
        <sz val="11"/>
        <rFont val="Arial"/>
        <family val="0"/>
        <charset val="1"/>
      </rPr>
      <t xml:space="preserve">250</t>
    </r>
    <r>
      <rPr>
        <sz val="11"/>
        <rFont val="Noto Sans CJK SC"/>
        <family val="2"/>
      </rPr>
      <t xml:space="preserve">時間と仮定）。段階と目安は初回の計画書から転記します。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</si>
</sst>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9"/>
      <name val="Noto Sans CJK SC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4"/>
      <name val="Noto Sans CJK SC"/>
      <family val="2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計画・実績・予定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スマホ!$B$27:$B$33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13234"/>
        <c:axId val="42997248"/>
      </c:lineChart>
      <c:catAx>
        <c:axId val="461323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97248"/>
        <c:crosses val="autoZero"/>
        <c:auto val="1"/>
        <c:lblAlgn val="ctr"/>
        <c:lblOffset val="100"/>
        <c:noMultiLvlLbl val="0"/>
      </c:catAx>
      <c:valAx>
        <c:axId val="429972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132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スマホ!$B$27:$B$33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087242"/>
        <c:axId val="28342660"/>
      </c:lineChart>
      <c:catAx>
        <c:axId val="3908724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42660"/>
        <c:crosses val="autoZero"/>
        <c:auto val="1"/>
        <c:lblAlgn val="ctr"/>
        <c:lblOffset val="100"/>
        <c:noMultiLvlLbl val="0"/>
      </c:catAx>
      <c:valAx>
        <c:axId val="283426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872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356400</xdr:rowOff>
    </xdr:from>
    <xdr:to>
      <xdr:col>3</xdr:col>
      <xdr:colOff>129600</xdr:colOff>
      <xdr:row>21</xdr:row>
      <xdr:rowOff>75600</xdr:rowOff>
    </xdr:to>
    <xdr:graphicFrame>
      <xdr:nvGraphicFramePr>
        <xdr:cNvPr id="0" name="Chart 1"/>
        <xdr:cNvGraphicFramePr/>
      </xdr:nvGraphicFramePr>
      <xdr:xfrm>
        <a:off x="0" y="5143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16</xdr:col>
      <xdr:colOff>473040</xdr:colOff>
      <xdr:row>15</xdr:row>
      <xdr:rowOff>62640</xdr:rowOff>
    </xdr:to>
    <xdr:graphicFrame>
      <xdr:nvGraphicFramePr>
        <xdr:cNvPr id="1" name="Chart 1"/>
        <xdr:cNvGraphicFramePr/>
      </xdr:nvGraphicFramePr>
      <xdr:xfrm>
        <a:off x="949248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</cols>
  <sheetData>
    <row r="1" customFormat="false" ht="57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3.5" hidden="false" customHeight="true" outlineLevel="0" collapsed="false">
      <c r="A3" s="3" t="s">
        <v>2</v>
      </c>
      <c r="B3" s="4" t="n">
        <f aca="false">ボード!B5</f>
        <v>80</v>
      </c>
    </row>
    <row r="4" customFormat="false" ht="43.5" hidden="false" customHeight="true" outlineLevel="0" collapsed="false">
      <c r="A4" s="3" t="s">
        <v>3</v>
      </c>
      <c r="B4" s="5" t="n">
        <f aca="false">ボード!B6</f>
        <v>250</v>
      </c>
    </row>
    <row r="5" customFormat="false" ht="43.5" hidden="false" customHeight="true" outlineLevel="0" collapsed="false">
      <c r="A5" s="3" t="s">
        <v>4</v>
      </c>
      <c r="B5" s="6" t="n">
        <f aca="false">ボード!B7</f>
        <v>0.32</v>
      </c>
    </row>
    <row r="6" customFormat="false" ht="43.5" hidden="false" customHeight="true" outlineLevel="0" collapsed="false">
      <c r="A6" s="3" t="s">
        <v>5</v>
      </c>
      <c r="B6" s="3" t="str">
        <f aca="false">ボード!B8</f>
        <v>計画より遅れ</v>
      </c>
    </row>
    <row r="7" customFormat="false" ht="43.5" hidden="false" customHeight="true" outlineLevel="0" collapsed="false">
      <c r="A7" s="3" t="s">
        <v>6</v>
      </c>
      <c r="B7" s="5" t="n">
        <f aca="false">ボード!B10</f>
        <v>42.5</v>
      </c>
    </row>
    <row r="8" customFormat="false" ht="43.5" hidden="false" customHeight="true" outlineLevel="0" collapsed="false">
      <c r="A8" s="3" t="s">
        <v>7</v>
      </c>
      <c r="B8" s="7" t="str">
        <f aca="false">ボード!B12</f>
        <v>期限より遅れる（10か月目ごろ）</v>
      </c>
    </row>
    <row r="9" customFormat="false" ht="43.5" hidden="false" customHeight="true" outlineLevel="0" collapsed="false">
      <c r="A9" s="3" t="s">
        <v>8</v>
      </c>
      <c r="B9" s="3" t="str">
        <f aca="false">ボード!B13</f>
        <v>OK</v>
      </c>
    </row>
    <row r="10" customFormat="false" ht="55.5" hidden="false" customHeight="true" outlineLevel="0" collapsed="false">
      <c r="A10" s="8" t="s">
        <v>9</v>
      </c>
      <c r="B10" s="8"/>
    </row>
    <row r="26" customFormat="false" ht="15" hidden="false" customHeight="false" outlineLevel="0" collapsed="false">
      <c r="A26" s="2" t="s">
        <v>10</v>
      </c>
    </row>
    <row r="27" customFormat="false" ht="17.15" hidden="false" customHeight="false" outlineLevel="0" collapsed="false">
      <c r="A27" s="9" t="s">
        <v>11</v>
      </c>
      <c r="B27" s="10" t="n">
        <v>30</v>
      </c>
    </row>
    <row r="28" customFormat="false" ht="17.15" hidden="false" customHeight="false" outlineLevel="0" collapsed="false">
      <c r="A28" s="9" t="s">
        <v>12</v>
      </c>
      <c r="B28" s="10" t="n">
        <v>55</v>
      </c>
    </row>
    <row r="29" customFormat="false" ht="17.15" hidden="false" customHeight="false" outlineLevel="0" collapsed="false">
      <c r="A29" s="9" t="s">
        <v>13</v>
      </c>
      <c r="B29" s="10" t="n">
        <v>80</v>
      </c>
    </row>
    <row r="30" customFormat="false" ht="17.15" hidden="false" customHeight="false" outlineLevel="0" collapsed="false">
      <c r="A30" s="9" t="s">
        <v>14</v>
      </c>
      <c r="B30" s="10"/>
    </row>
    <row r="31" customFormat="false" ht="17.15" hidden="false" customHeight="false" outlineLevel="0" collapsed="false">
      <c r="A31" s="9" t="s">
        <v>15</v>
      </c>
      <c r="B31" s="10"/>
    </row>
    <row r="32" customFormat="false" ht="17.15" hidden="false" customHeight="false" outlineLevel="0" collapsed="false">
      <c r="A32" s="9" t="s">
        <v>16</v>
      </c>
      <c r="B32" s="10"/>
    </row>
    <row r="33" customFormat="false" ht="17.15" hidden="false" customHeight="false" outlineLevel="0" collapsed="false">
      <c r="A33" s="9" t="s">
        <v>17</v>
      </c>
      <c r="B33" s="10"/>
    </row>
    <row r="36" customFormat="false" ht="15" hidden="false" customHeight="false" outlineLevel="0" collapsed="false">
      <c r="A36" s="2" t="s">
        <v>18</v>
      </c>
    </row>
    <row r="37" customFormat="false" ht="17.15" hidden="false" customHeight="false" outlineLevel="0" collapsed="false">
      <c r="A37" s="3" t="str">
        <f aca="false">ボード!A20</f>
        <v>M1 商業簿記の基礎</v>
      </c>
      <c r="B37" s="3" t="str">
        <f aca="false">IF(ボード!C20="達成","達成",ボード!D20)</f>
        <v>達成</v>
      </c>
    </row>
    <row r="38" customFormat="false" ht="17.15" hidden="false" customHeight="false" outlineLevel="0" collapsed="false">
      <c r="A38" s="3" t="str">
        <f aca="false">ボード!A21</f>
        <v>M2 工業簿記</v>
      </c>
      <c r="B38" s="3" t="str">
        <f aca="false">IF(ボード!C21="達成","達成",ボード!D21)</f>
        <v>5か月目ごろ</v>
      </c>
    </row>
    <row r="39" customFormat="false" ht="17.15" hidden="false" customHeight="false" outlineLevel="0" collapsed="false">
      <c r="A39" s="3" t="str">
        <f aca="false">ボード!A22</f>
        <v>M3 過去問演習</v>
      </c>
      <c r="B39" s="3" t="str">
        <f aca="false">IF(ボード!C22="達成","達成",ボード!D22)</f>
        <v>8か月目ごろ</v>
      </c>
    </row>
    <row r="40" customFormat="false" ht="17.15" hidden="false" customHeight="false" outlineLevel="0" collapsed="false">
      <c r="A40" s="3" t="str">
        <f aca="false">ボード!A23</f>
        <v>ゴール 受験</v>
      </c>
      <c r="B40" s="3" t="str">
        <f aca="false">IF(ボード!C23="達成","達成",ボード!D23)</f>
        <v>10か月目ごろ</v>
      </c>
    </row>
  </sheetData>
  <mergeCells count="1">
    <mergeCell ref="A10:B10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27:B3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1" t="s">
        <v>19</v>
      </c>
    </row>
    <row r="3" customFormat="false" ht="17.15" hidden="false" customHeight="false" outlineLevel="0" collapsed="false">
      <c r="A3" s="12" t="s">
        <v>20</v>
      </c>
    </row>
    <row r="4" customFormat="false" ht="15" hidden="false" customHeight="false" outlineLevel="0" collapsed="false">
      <c r="A4" s="12" t="s">
        <v>21</v>
      </c>
    </row>
    <row r="5" customFormat="false" ht="15" hidden="false" customHeight="false" outlineLevel="0" collapsed="false">
      <c r="A5" s="12" t="s">
        <v>22</v>
      </c>
    </row>
    <row r="7" customFormat="false" ht="15" hidden="false" customHeight="false" outlineLevel="0" collapsed="false">
      <c r="A7" s="2" t="s">
        <v>23</v>
      </c>
    </row>
    <row r="8" customFormat="false" ht="15" hidden="false" customHeight="false" outlineLevel="0" collapsed="false">
      <c r="A8" s="13" t="s">
        <v>24</v>
      </c>
    </row>
    <row r="9" customFormat="false" ht="15" hidden="false" customHeight="false" outlineLevel="0" collapsed="false">
      <c r="A9" s="14" t="s">
        <v>25</v>
      </c>
    </row>
    <row r="10" customFormat="false" ht="15" hidden="false" customHeight="false" outlineLevel="0" collapsed="false">
      <c r="A10" s="12" t="s">
        <v>26</v>
      </c>
    </row>
    <row r="11" customFormat="false" ht="15" hidden="false" customHeight="false" outlineLevel="0" collapsed="false">
      <c r="A11" s="12" t="s">
        <v>27</v>
      </c>
    </row>
    <row r="13" customFormat="false" ht="17.15" hidden="false" customHeight="false" outlineLevel="0" collapsed="false">
      <c r="A13" s="1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29</v>
      </c>
    </row>
    <row r="2" customFormat="false" ht="17.15" hidden="false" customHeight="false" outlineLevel="0" collapsed="false">
      <c r="A2" s="3" t="s">
        <v>30</v>
      </c>
      <c r="B2" s="10" t="n">
        <v>0</v>
      </c>
    </row>
    <row r="3" customFormat="false" ht="17.15" hidden="false" customHeight="false" outlineLevel="0" collapsed="false">
      <c r="A3" s="3" t="s">
        <v>31</v>
      </c>
      <c r="B3" s="10" t="n">
        <v>250</v>
      </c>
    </row>
    <row r="4" customFormat="false" ht="17.15" hidden="false" customHeight="false" outlineLevel="0" collapsed="false">
      <c r="A4" s="3" t="s">
        <v>32</v>
      </c>
      <c r="B4" s="10" t="n">
        <v>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15" t="s">
        <v>33</v>
      </c>
      <c r="B1" s="15" t="s">
        <v>34</v>
      </c>
      <c r="C1" s="15" t="s">
        <v>35</v>
      </c>
      <c r="D1" s="15" t="s">
        <v>36</v>
      </c>
      <c r="E1" s="15" t="s">
        <v>37</v>
      </c>
    </row>
    <row r="2" customFormat="false" ht="15" hidden="false" customHeight="false" outlineLevel="0" collapsed="false">
      <c r="A2" s="16" t="n">
        <v>1</v>
      </c>
      <c r="B2" s="16" t="n">
        <f aca="false">前提!$B$2+(前提!$B$3-前提!$B$2)*A2/前提!$B$4</f>
        <v>35.7142857142857</v>
      </c>
      <c r="C2" s="16" t="n">
        <f aca="false">IF(スマホ!B27="","",スマホ!B27)</f>
        <v>30</v>
      </c>
      <c r="D2" s="16" t="str">
        <f aca="false">IFERROR(IF(OR(ボード!$B$4="",ボード!$B$10="",A2&lt;=ボード!$B$4),"",ボード!$B$5+ボード!$B$10*(A2-ボード!$B$4)),"")</f>
        <v/>
      </c>
      <c r="E2" s="16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16" t="n">
        <v>2</v>
      </c>
      <c r="B3" s="16" t="n">
        <f aca="false">前提!$B$2+(前提!$B$3-前提!$B$2)*A3/前提!$B$4</f>
        <v>71.4285714285714</v>
      </c>
      <c r="C3" s="16" t="n">
        <f aca="false">IF(スマホ!B28="","",スマホ!B28)</f>
        <v>55</v>
      </c>
      <c r="D3" s="16" t="str">
        <f aca="false">IFERROR(IF(OR(ボード!$B$4="",ボード!$B$10="",A3&lt;=ボード!$B$4),"",ボード!$B$5+ボード!$B$10*(A3-ボード!$B$4)),"")</f>
        <v/>
      </c>
      <c r="E3" s="16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16" t="n">
        <v>3</v>
      </c>
      <c r="B4" s="16" t="n">
        <f aca="false">前提!$B$2+(前提!$B$3-前提!$B$2)*A4/前提!$B$4</f>
        <v>107.142857142857</v>
      </c>
      <c r="C4" s="16" t="n">
        <f aca="false">IF(スマホ!B29="","",スマホ!B29)</f>
        <v>80</v>
      </c>
      <c r="D4" s="16" t="str">
        <f aca="false">IFERROR(IF(OR(ボード!$B$4="",ボード!$B$10="",A4&lt;=ボード!$B$4),"",ボード!$B$5+ボード!$B$10*(A4-ボード!$B$4)),"")</f>
        <v/>
      </c>
      <c r="E4" s="16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16" t="n">
        <v>4</v>
      </c>
      <c r="B5" s="16" t="n">
        <f aca="false">前提!$B$2+(前提!$B$3-前提!$B$2)*A5/前提!$B$4</f>
        <v>142.857142857143</v>
      </c>
      <c r="C5" s="16" t="str">
        <f aca="false">IF(スマホ!B30="","",スマホ!B30)</f>
        <v/>
      </c>
      <c r="D5" s="16" t="n">
        <f aca="false">IFERROR(IF(OR(ボード!$B$4="",ボード!$B$10="",A5&lt;=ボード!$B$4),"",ボード!$B$5+ボード!$B$10*(A5-ボード!$B$4)),"")</f>
        <v>122.5</v>
      </c>
      <c r="E5" s="16" t="n">
        <f aca="false">IFERROR(IF(OR(ボード!$B$4="",A5&lt;=ボード!$B$4,ボード!$B$11=""),"",ボード!$B$5+ボード!$B$11*(A5-ボード!$B$4)),"")</f>
        <v>106.666666666667</v>
      </c>
    </row>
    <row r="6" customFormat="false" ht="15" hidden="false" customHeight="false" outlineLevel="0" collapsed="false">
      <c r="A6" s="16" t="n">
        <v>5</v>
      </c>
      <c r="B6" s="16" t="n">
        <f aca="false">前提!$B$2+(前提!$B$3-前提!$B$2)*A6/前提!$B$4</f>
        <v>178.571428571429</v>
      </c>
      <c r="C6" s="16" t="str">
        <f aca="false">IF(スマホ!B31="","",スマホ!B31)</f>
        <v/>
      </c>
      <c r="D6" s="16" t="n">
        <f aca="false">IFERROR(IF(OR(ボード!$B$4="",ボード!$B$10="",A6&lt;=ボード!$B$4),"",ボード!$B$5+ボード!$B$10*(A6-ボード!$B$4)),"")</f>
        <v>165</v>
      </c>
      <c r="E6" s="16" t="n">
        <f aca="false">IFERROR(IF(OR(ボード!$B$4="",A6&lt;=ボード!$B$4,ボード!$B$11=""),"",ボード!$B$5+ボード!$B$11*(A6-ボード!$B$4)),"")</f>
        <v>133.333333333333</v>
      </c>
    </row>
    <row r="7" customFormat="false" ht="15" hidden="false" customHeight="false" outlineLevel="0" collapsed="false">
      <c r="A7" s="16" t="n">
        <v>6</v>
      </c>
      <c r="B7" s="16" t="n">
        <f aca="false">前提!$B$2+(前提!$B$3-前提!$B$2)*A7/前提!$B$4</f>
        <v>214.285714285714</v>
      </c>
      <c r="C7" s="16" t="str">
        <f aca="false">IF(スマホ!B32="","",スマホ!B32)</f>
        <v/>
      </c>
      <c r="D7" s="16" t="n">
        <f aca="false">IFERROR(IF(OR(ボード!$B$4="",ボード!$B$10="",A7&lt;=ボード!$B$4),"",ボード!$B$5+ボード!$B$10*(A7-ボード!$B$4)),"")</f>
        <v>207.5</v>
      </c>
      <c r="E7" s="16" t="n">
        <f aca="false">IFERROR(IF(OR(ボード!$B$4="",A7&lt;=ボード!$B$4,ボード!$B$11=""),"",ボード!$B$5+ボード!$B$11*(A7-ボード!$B$4)),"")</f>
        <v>160</v>
      </c>
    </row>
    <row r="8" customFormat="false" ht="15" hidden="false" customHeight="false" outlineLevel="0" collapsed="false">
      <c r="A8" s="16" t="n">
        <v>7</v>
      </c>
      <c r="B8" s="16" t="n">
        <f aca="false">前提!$B$2+(前提!$B$3-前提!$B$2)*A8/前提!$B$4</f>
        <v>250</v>
      </c>
      <c r="C8" s="16" t="str">
        <f aca="false">IF(スマホ!B33="","",スマホ!B33)</f>
        <v/>
      </c>
      <c r="D8" s="16" t="n">
        <f aca="false">IFERROR(IF(OR(ボード!$B$4="",ボード!$B$10="",A8&lt;=ボード!$B$4),"",ボード!$B$5+ボード!$B$10*(A8-ボード!$B$4)),"")</f>
        <v>250</v>
      </c>
      <c r="E8" s="16" t="n">
        <f aca="false">IFERROR(IF(OR(ボード!$B$4="",A8&lt;=ボード!$B$4,ボード!$B$11=""),"",ボード!$B$5+ボード!$B$11*(A8-ボード!$B$4)),"")</f>
        <v>186.666666666667</v>
      </c>
    </row>
    <row r="10" customFormat="false" ht="15" hidden="false" customHeight="false" outlineLevel="0" collapsed="false">
      <c r="A10" s="1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1" t="s">
        <v>39</v>
      </c>
    </row>
    <row r="3" customFormat="false" ht="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3" t="s">
        <v>40</v>
      </c>
      <c r="B4" s="16" t="n">
        <f aca="false">IF(COUNT(記録!C2:C8)=0,"",LOOKUP(2,1/(記録!C2:C8&lt;&gt;""),記録!A2:A8))</f>
        <v>3</v>
      </c>
    </row>
    <row r="5" customFormat="false" ht="17.15" hidden="false" customHeight="false" outlineLevel="0" collapsed="false">
      <c r="A5" s="3" t="s">
        <v>41</v>
      </c>
      <c r="B5" s="17" t="n">
        <f aca="false">IF(B4="","",LOOKUP(2,1/(記録!C2:C8&lt;&gt;""),記録!C2:C8))</f>
        <v>80</v>
      </c>
    </row>
    <row r="6" customFormat="false" ht="17.15" hidden="false" customHeight="false" outlineLevel="0" collapsed="false">
      <c r="A6" s="3" t="s">
        <v>42</v>
      </c>
      <c r="B6" s="16" t="n">
        <f aca="false">前提!B3</f>
        <v>250</v>
      </c>
    </row>
    <row r="7" customFormat="false" ht="17.15" hidden="false" customHeight="false" outlineLevel="0" collapsed="false">
      <c r="A7" s="3" t="s">
        <v>43</v>
      </c>
      <c r="B7" s="18" t="n">
        <f aca="false">IF(OR(B4="",(前提!B3-前提!B2)=0),"",(B5-前提!B2)/(前提!B3-前提!B2))</f>
        <v>0.32</v>
      </c>
    </row>
    <row r="8" customFormat="false" ht="17.15" hidden="false" customHeight="false" outlineLevel="0" collapsed="false">
      <c r="A8" s="3" t="s">
        <v>44</v>
      </c>
      <c r="B8" s="19" t="str">
        <f aca="false">IF(B4="","",IF((前提!B3-前提!B2)=0,"前提を確認（最初の値と目標が同じ）",IF((B5-INDEX(記録!B2:B8,B4))*SIGN((前提!B3-前提!B2))&gt;=0,"計画どおり、または先行","計画より遅れ")))</f>
        <v>計画より遅れ</v>
      </c>
    </row>
    <row r="9" customFormat="false" ht="17.15" hidden="false" customHeight="false" outlineLevel="0" collapsed="false">
      <c r="A9" s="3" t="s">
        <v>45</v>
      </c>
      <c r="B9" s="16" t="n">
        <f aca="false">IF(B4="","",前提!B4-B4)</f>
        <v>4</v>
      </c>
    </row>
    <row r="10" customFormat="false" ht="32.8" hidden="false" customHeight="false" outlineLevel="0" collapsed="false">
      <c r="A10" s="3" t="s">
        <v>46</v>
      </c>
      <c r="B10" s="17" t="n">
        <f aca="false">IF(OR(B4="",(前提!B3-前提!B2)=0),"",IF((前提!B3-B5)*SIGN((前提!B3-前提!B2))&lt;=0,0,IF(B9&lt;=0,"",(前提!B3-B5)/B9)))</f>
        <v>42.5</v>
      </c>
    </row>
    <row r="11" customFormat="false" ht="17.15" hidden="false" customHeight="false" outlineLevel="0" collapsed="false">
      <c r="A11" s="3" t="s">
        <v>47</v>
      </c>
      <c r="B11" s="16" t="n">
        <f aca="false">IF(COUNT(記録!C2:C8)&lt;2,"",(B5-前提!B2)/B4)</f>
        <v>26.6666666666667</v>
      </c>
    </row>
    <row r="12" customFormat="false" ht="32.8" hidden="false" customHeight="false" outlineLevel="0" collapsed="false">
      <c r="A12" s="3" t="s">
        <v>48</v>
      </c>
      <c r="B12" s="19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8)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期限より遅れる（10か月目ごろ）</v>
      </c>
    </row>
    <row r="13" customFormat="false" ht="17.15" hidden="false" customHeight="false" outlineLevel="0" collapsed="false">
      <c r="A13" s="3" t="s">
        <v>8</v>
      </c>
      <c r="B13" s="20" t="str">
        <f aca="false">IF(COUNTIF(記録!C2:C8,"&lt;0")&gt;0,"マイナスの値があります。確認してください",IF(B4="","実績を入力してください",IF(COUNT(記録!C2:C8)&lt;B4,"入力していない月があります（現在地は最後に入力した月で計算）","OK")))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2" t="s">
        <v>49</v>
      </c>
    </row>
    <row r="16" customFormat="false" ht="15" hidden="false" customHeight="false" outlineLevel="0" collapsed="false">
      <c r="A16" s="12" t="s">
        <v>50</v>
      </c>
    </row>
    <row r="18" customFormat="false" ht="15" hidden="false" customHeight="false" outlineLevel="0" collapsed="false">
      <c r="A18" s="2" t="s">
        <v>51</v>
      </c>
    </row>
    <row r="19" customFormat="false" ht="31.5" hidden="false" customHeight="true" outlineLevel="0" collapsed="false">
      <c r="A19" s="15" t="s">
        <v>52</v>
      </c>
      <c r="B19" s="15" t="s">
        <v>53</v>
      </c>
      <c r="C19" s="15" t="s">
        <v>54</v>
      </c>
      <c r="D19" s="15" t="s">
        <v>55</v>
      </c>
    </row>
    <row r="20" customFormat="false" ht="17.15" hidden="false" customHeight="false" outlineLevel="0" collapsed="false">
      <c r="A20" s="21" t="s">
        <v>56</v>
      </c>
      <c r="B20" s="10" t="n">
        <v>60</v>
      </c>
      <c r="C20" s="19" t="str">
        <f aca="false">IF(B$5="","",IF(B$5&gt;=B20,"達成","未達成"))</f>
        <v>達成</v>
      </c>
      <c r="D20" s="19" t="str">
        <f aca="false">IFERROR(IF(B$5="","",IF(B$5&gt;=B20,"—",IF(B$11="","記録が2か月分以上で表示",IF(B$11&lt;=0,"見込みなし",ROUNDUP(B$4+(B20-B$5)/B$11,0)&amp;"か月目ごろ")))),"")</f>
        <v>—</v>
      </c>
    </row>
    <row r="21" customFormat="false" ht="17.15" hidden="false" customHeight="false" outlineLevel="0" collapsed="false">
      <c r="A21" s="21" t="s">
        <v>57</v>
      </c>
      <c r="B21" s="10" t="n">
        <v>130</v>
      </c>
      <c r="C21" s="19" t="str">
        <f aca="false">IF(B$5="","",IF(B$5&gt;=B21,"達成","未達成"))</f>
        <v>未達成</v>
      </c>
      <c r="D21" s="19" t="str">
        <f aca="false">IFERROR(IF(B$5="","",IF(B$5&gt;=B21,"—",IF(B$11="","記録が2か月分以上で表示",IF(B$11&lt;=0,"見込みなし",ROUNDUP(B$4+(B21-B$5)/B$11,0)&amp;"か月目ごろ")))),"")</f>
        <v>5か月目ごろ</v>
      </c>
    </row>
    <row r="22" customFormat="false" ht="17.15" hidden="false" customHeight="false" outlineLevel="0" collapsed="false">
      <c r="A22" s="21" t="s">
        <v>58</v>
      </c>
      <c r="B22" s="10" t="n">
        <v>200</v>
      </c>
      <c r="C22" s="19" t="str">
        <f aca="false">IF(B$5="","",IF(B$5&gt;=B22,"達成","未達成"))</f>
        <v>未達成</v>
      </c>
      <c r="D22" s="19" t="str">
        <f aca="false">IFERROR(IF(B$5="","",IF(B$5&gt;=B22,"—",IF(B$11="","記録が2か月分以上で表示",IF(B$11&lt;=0,"見込みなし",ROUNDUP(B$4+(B22-B$5)/B$11,0)&amp;"か月目ごろ")))),"")</f>
        <v>8か月目ごろ</v>
      </c>
    </row>
    <row r="23" customFormat="false" ht="17.15" hidden="false" customHeight="false" outlineLevel="0" collapsed="false">
      <c r="A23" s="22" t="s">
        <v>59</v>
      </c>
      <c r="B23" s="10" t="n">
        <v>250</v>
      </c>
      <c r="C23" s="19" t="str">
        <f aca="false">IF(B$5="","",IF(B$5&gt;=B23,"達成","未達成"))</f>
        <v>未達成</v>
      </c>
      <c r="D23" s="19" t="str">
        <f aca="false">IFERROR(IF(B$5="","",IF(B$5&gt;=B23,"—",IF(B$11="","記録が2か月分以上で表示",IF(B$11&lt;=0,"見込みなし",ROUNDUP(B$4+(B23-B$5)/B$11,0)&amp;"か月目ごろ")))),"")</f>
        <v>10か月目ごろ</v>
      </c>
    </row>
    <row r="25" customFormat="false" ht="17.15" hidden="false" customHeight="false" outlineLevel="0" collapsed="false">
      <c r="A25" s="12" t="s">
        <v>60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0:B2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2026-10-30T03:57:25Z</dcterms:created>
  <dc:creator>openpyxl</dc:creator>
  <dc:description/>
  <dc:language>en-US</dc:language>
  <cp:lastModifiedBy/>
  <dcterms:modified xsi:type="dcterms:W3CDTF">2026-10-30T12:57:57Z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
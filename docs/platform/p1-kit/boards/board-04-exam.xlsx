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模試の記録" sheetId="2" state="visible" r:id="rId4"/>
    <sheet name="ボード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<sst xmlns="http://schemas.openxmlformats.org/spreadsheetml/2006/main" count="48" uniqueCount="41">
  <si>
    <t xml:space="preserve">④ 現在地ボード：受験ロードマップ</t>
  </si>
  <si>
    <t xml:space="preserve">模試・テストの結果が出たら、「模試の記録」シートの黄色の欄に、教科ごとの偏差値（または点数）を入れてください（保護者の方と一緒に）。</t>
  </si>
  <si>
    <r>
      <rPr>
        <sz val="11"/>
        <rFont val="Noto Sans CJK SC"/>
        <family val="2"/>
      </rPr>
      <t xml:space="preserve">入れると、教科ごとの現在地・志望の目安との差・受験までの模試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回あたりに必要な伸び・次の模試での目標が自動で計算されます。</t>
    </r>
  </si>
  <si>
    <t xml:space="preserve">入試日程・制度は学校や教育委員会の公式情報で確認してください。合格を保証するものではありません。受験生の本名・学校名は書かないでください。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</si>
  <si>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</si>
  <si>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</si>
  <si>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</si>
  <si>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</si>
  <si>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</si>
  <si>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</si>
  <si>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回</t>
  </si>
  <si>
    <t xml:space="preserve">英語</t>
  </si>
  <si>
    <t xml:space="preserve">数学</t>
  </si>
  <si>
    <t xml:space="preserve">国語</t>
  </si>
  <si>
    <t xml:space="preserve">理科</t>
  </si>
  <si>
    <t xml:space="preserve">社会</t>
  </si>
  <si>
    <t xml:space="preserve">模試の名前（会社・シリーズ）</t>
  </si>
  <si>
    <t xml:space="preserve">志望の目安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</si>
  <si>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回目</t>
    </r>
  </si>
  <si>
    <t xml:space="preserve">（例）◯◯模試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</si>
  <si>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</si>
  <si>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</si>
  <si>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</si>
  <si>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</si>
  <si>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</si>
  <si>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</si>
  <si>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回目</t>
    </r>
  </si>
  <si>
    <t xml:space="preserve">受験までに受ける模試の回数（全部で）</t>
  </si>
  <si>
    <r>
      <rPr>
        <sz val="11"/>
        <rFont val="Noto Sans CJK SC"/>
        <family val="2"/>
      </rPr>
      <t xml:space="preserve">※ 架空の記入例（中学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年・高校受験）。</t>
    </r>
  </si>
  <si>
    <t xml:space="preserve">現在地ボード：受験</t>
  </si>
  <si>
    <t xml:space="preserve">受けた模試の回数</t>
  </si>
  <si>
    <t xml:space="preserve">受験までの残りの模試の回数</t>
  </si>
  <si>
    <t xml:space="preserve">教科</t>
  </si>
  <si>
    <t xml:space="preserve">現在地</t>
  </si>
  <si>
    <t xml:space="preserve">差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</si>
  <si>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回目からの平均の伸び（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回あたり・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回以上で表示）</t>
    </r>
  </si>
  <si>
    <r>
      <rPr>
        <b val="true"/>
        <sz val="11"/>
        <rFont val="Noto Sans CJK SC"/>
        <family val="2"/>
      </rPr>
      <t xml:space="preserve">目安に届くために必要な伸び（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</si>
  <si>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t xml:space="preserve">次の模試の目標（参考）</t>
  </si>
  <si>
    <t xml:space="preserve">今のペースの場合（参考計算）</t>
  </si>
  <si>
    <t xml:space="preserve">※ 見込みと次の模試の目標は、過去の数値を直線で延ばした参考計算で、学力や合格の可能性の予測ではありません。時間配分の見直しは、初回の計画書の方針（または模試後の見直し）を優先してください。</t>
  </si>
  <si>
    <t xml:space="preserve">※ 偏差値は、模試の実施会社・受験者層・問題の難しさで変わります。できるだけ同じ会社・同じシリーズの模試の結果を記録してください。違う模試の偏差値は、単純な伸びとして比べられません。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</si>
</sst>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;\-0;0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模試の記録!B1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模試の記録!$B$2:$B$10</c:f>
              <c:numCache>
                <c:formatCode>0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模試の記録!C1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模試の記録!$C$2:$C$10</c:f>
              <c:numCache>
                <c:formatCode>0</c:formatCode>
                <c:ptCount val="9"/>
                <c:pt idx="0">
                  <c:v>60</c:v>
                </c:pt>
                <c:pt idx="1">
                  <c:v>49</c:v>
                </c:pt>
                <c:pt idx="2">
                  <c:v>52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模試の記録!D1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模試の記録!$D$2:$D$10</c:f>
              <c:numCache>
                <c:formatCode>0</c:formatCode>
                <c:ptCount val="9"/>
                <c:pt idx="0">
                  <c:v>60</c:v>
                </c:pt>
                <c:pt idx="1">
                  <c:v>56</c:v>
                </c:pt>
                <c:pt idx="2">
                  <c:v>56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模試の記録!E1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模試の記録!$E$2:$E$10</c:f>
              <c:numCache>
                <c:formatCode>0</c:formatCode>
                <c:ptCount val="9"/>
                <c:pt idx="0">
                  <c:v>60</c:v>
                </c:pt>
                <c:pt idx="1">
                  <c:v>52</c:v>
                </c:pt>
                <c:pt idx="2">
                  <c:v>54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模試の記録!F1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模試の記録!$F$2:$F$10</c:f>
              <c:numCache>
                <c:formatCode>0</c:formatCode>
                <c:ptCount val="9"/>
                <c:pt idx="0">
                  <c:v>60</c:v>
                </c:pt>
                <c:pt idx="1">
                  <c:v>55</c:v>
                </c:pt>
                <c:pt idx="2">
                  <c:v>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626334"/>
        <c:axId val="66873715"/>
      </c:lineChart>
      <c:catAx>
        <c:axId val="466263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873715"/>
        <c:crosses val="autoZero"/>
        <c:auto val="1"/>
        <c:lblAlgn val="ctr"/>
        <c:lblOffset val="100"/>
        <c:noMultiLvlLbl val="0"/>
      </c:catAx>
      <c:valAx>
        <c:axId val="66873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263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159840</xdr:rowOff>
    </xdr:from>
    <xdr:to>
      <xdr:col>6</xdr:col>
      <xdr:colOff>714960</xdr:colOff>
      <xdr:row>29</xdr:row>
      <xdr:rowOff>160920</xdr:rowOff>
    </xdr:to>
    <xdr:graphicFrame>
      <xdr:nvGraphicFramePr>
        <xdr:cNvPr id="0" name="Chart 1"/>
        <xdr:cNvGraphicFramePr/>
      </xdr:nvGraphicFramePr>
      <xdr:xfrm>
        <a:off x="0" y="28764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9"/>
  </cols>
  <sheetData>
    <row r="1" customFormat="false" ht="31.5" hidden="false" customHeight="tru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</row>
    <row r="2" customFormat="false" ht="15" hidden="false" customHeight="false" outlineLevel="0" collapsed="false">
      <c r="A2" s="7" t="s">
        <v>17</v>
      </c>
      <c r="B2" s="8" t="n">
        <v>60</v>
      </c>
      <c r="C2" s="8" t="n">
        <v>60</v>
      </c>
      <c r="D2" s="8" t="n">
        <v>60</v>
      </c>
      <c r="E2" s="8" t="n">
        <v>60</v>
      </c>
      <c r="F2" s="8" t="n">
        <v>60</v>
      </c>
    </row>
    <row r="3" customFormat="false" ht="17.15" hidden="false" customHeight="false" outlineLevel="0" collapsed="false">
      <c r="A3" s="9" t="s">
        <v>18</v>
      </c>
      <c r="B3" s="8" t="n">
        <v>58</v>
      </c>
      <c r="C3" s="8" t="n">
        <v>49</v>
      </c>
      <c r="D3" s="8" t="n">
        <v>56</v>
      </c>
      <c r="E3" s="8" t="n">
        <v>52</v>
      </c>
      <c r="F3" s="8" t="n">
        <v>55</v>
      </c>
      <c r="G3" s="7" t="s">
        <v>19</v>
      </c>
    </row>
    <row r="4" customFormat="false" ht="17.15" hidden="false" customHeight="false" outlineLevel="0" collapsed="false">
      <c r="A4" s="9" t="s">
        <v>20</v>
      </c>
      <c r="B4" s="8" t="n">
        <v>59</v>
      </c>
      <c r="C4" s="8" t="n">
        <v>52</v>
      </c>
      <c r="D4" s="8" t="n">
        <v>56</v>
      </c>
      <c r="E4" s="8" t="n">
        <v>54</v>
      </c>
      <c r="F4" s="8" t="n">
        <v>55</v>
      </c>
      <c r="G4" s="7" t="s">
        <v>19</v>
      </c>
    </row>
    <row r="5" customFormat="false" ht="17.15" hidden="false" customHeight="false" outlineLevel="0" collapsed="false">
      <c r="A5" s="9" t="s">
        <v>21</v>
      </c>
      <c r="B5" s="8"/>
      <c r="C5" s="8"/>
      <c r="D5" s="8"/>
      <c r="E5" s="8"/>
      <c r="F5" s="8"/>
      <c r="G5" s="10"/>
    </row>
    <row r="6" customFormat="false" ht="17.15" hidden="false" customHeight="false" outlineLevel="0" collapsed="false">
      <c r="A6" s="9" t="s">
        <v>22</v>
      </c>
      <c r="B6" s="8"/>
      <c r="C6" s="8"/>
      <c r="D6" s="8"/>
      <c r="E6" s="8"/>
      <c r="F6" s="8"/>
      <c r="G6" s="10"/>
    </row>
    <row r="7" customFormat="false" ht="17.15" hidden="false" customHeight="false" outlineLevel="0" collapsed="false">
      <c r="A7" s="9" t="s">
        <v>23</v>
      </c>
      <c r="B7" s="8"/>
      <c r="C7" s="8"/>
      <c r="D7" s="8"/>
      <c r="E7" s="8"/>
      <c r="F7" s="8"/>
      <c r="G7" s="10"/>
    </row>
    <row r="8" customFormat="false" ht="17.15" hidden="false" customHeight="false" outlineLevel="0" collapsed="false">
      <c r="A8" s="9" t="s">
        <v>24</v>
      </c>
      <c r="B8" s="8"/>
      <c r="C8" s="8"/>
      <c r="D8" s="8"/>
      <c r="E8" s="8"/>
      <c r="F8" s="8"/>
      <c r="G8" s="10"/>
    </row>
    <row r="9" customFormat="false" ht="17.15" hidden="false" customHeight="false" outlineLevel="0" collapsed="false">
      <c r="A9" s="9" t="s">
        <v>25</v>
      </c>
      <c r="B9" s="8"/>
      <c r="C9" s="8"/>
      <c r="D9" s="8"/>
      <c r="E9" s="8"/>
      <c r="F9" s="8"/>
      <c r="G9" s="10"/>
    </row>
    <row r="10" customFormat="false" ht="17.15" hidden="false" customHeight="false" outlineLevel="0" collapsed="false">
      <c r="A10" s="9" t="s">
        <v>26</v>
      </c>
      <c r="B10" s="8"/>
      <c r="C10" s="8"/>
      <c r="D10" s="8"/>
      <c r="E10" s="8"/>
      <c r="F10" s="8"/>
      <c r="G10" s="10"/>
    </row>
    <row r="12" customFormat="false" ht="32.8" hidden="false" customHeight="false" outlineLevel="0" collapsed="false">
      <c r="A12" s="11" t="s">
        <v>27</v>
      </c>
      <c r="B12" s="8" t="n">
        <v>8</v>
      </c>
    </row>
    <row r="13" customFormat="false" ht="17.15" hidden="false" customHeight="false" outlineLevel="0" collapsed="false">
      <c r="A13" s="2" t="s">
        <v>28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F10 G5:G10 B1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29</v>
      </c>
    </row>
    <row r="2" customFormat="false" ht="17.15" hidden="false" customHeight="false" outlineLevel="0" collapsed="false">
      <c r="A2" s="11" t="s">
        <v>30</v>
      </c>
      <c r="B2" s="12" t="n">
        <f aca="false">MAX(COUNT(模試の記録!B3:B10),COUNT(模試の記録!C3:C10),COUNT(模試の記録!D3:D10),COUNT(模試の記録!E3:E10),COUNT(模試の記録!F3:F10))</f>
        <v>2</v>
      </c>
    </row>
    <row r="3" customFormat="false" ht="17.15" hidden="false" customHeight="false" outlineLevel="0" collapsed="false">
      <c r="A3" s="11" t="s">
        <v>31</v>
      </c>
      <c r="B3" s="12" t="n">
        <f aca="false">MAX(模試の記録!B12-B2,0)</f>
        <v>6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17</v>
      </c>
      <c r="D5" s="6" t="s">
        <v>34</v>
      </c>
      <c r="E5" s="13" t="s">
        <v>35</v>
      </c>
      <c r="F5" s="6" t="s">
        <v>36</v>
      </c>
      <c r="G5" s="6" t="s">
        <v>37</v>
      </c>
      <c r="H5" s="6" t="s">
        <v>38</v>
      </c>
    </row>
    <row r="6" customFormat="false" ht="17.15" hidden="false" customHeight="false" outlineLevel="0" collapsed="false">
      <c r="A6" s="11" t="s">
        <v>11</v>
      </c>
      <c r="B6" s="14" t="n">
        <f aca="false">IFERROR(LOOKUP(2,1/(模試の記録!B3:B10&lt;&gt;""),模試の記録!B3:B10),"")</f>
        <v>59</v>
      </c>
      <c r="C6" s="12" t="n">
        <f aca="false">模試の記録!B2</f>
        <v>60</v>
      </c>
      <c r="D6" s="15" t="n">
        <f aca="false">IFERROR(B6-C6,"")</f>
        <v>-1</v>
      </c>
      <c r="E6" s="16" t="str">
        <f aca="false">IFERROR(IF(COUNT(模試の記録!B3:B10)&lt;3,"",(B6-模試の記録!B3)/(COUNT(模試の記録!B3:B10)-1)),"")</f>
        <v/>
      </c>
      <c r="F6" s="17" t="n">
        <f aca="false">IFERROR(IF(D6&gt;=0,0,IF($B$3=0,"",-D6/$B$3)),"")</f>
        <v>0.166666666666667</v>
      </c>
      <c r="G6" s="14" t="n">
        <f aca="false">IFERROR(IF(D6&gt;=0,B6,ROUND(B6+F6,0)),"")</f>
        <v>59</v>
      </c>
      <c r="H6" s="18" t="str">
        <f aca="false">IFERROR(IF(B6="","",IF(D6&gt;=0,"目安に到達",IF($B$3=0,"残りの模試がありません",IF(E6="","予測データ不足（3回以上で表示）",IF(E6&gt;=F6,"このペースなら届く計算","このペースでは届かない計算（配分の見直し）"))))),"")</f>
        <v>予測データ不足（3回以上で表示）</v>
      </c>
    </row>
    <row r="7" customFormat="false" ht="17.15" hidden="false" customHeight="false" outlineLevel="0" collapsed="false">
      <c r="A7" s="11" t="s">
        <v>12</v>
      </c>
      <c r="B7" s="14" t="n">
        <f aca="false">IFERROR(LOOKUP(2,1/(模試の記録!C3:C10&lt;&gt;""),模試の記録!C3:C10),"")</f>
        <v>52</v>
      </c>
      <c r="C7" s="12" t="n">
        <f aca="false">模試の記録!C2</f>
        <v>60</v>
      </c>
      <c r="D7" s="15" t="n">
        <f aca="false">IFERROR(B7-C7,"")</f>
        <v>-8</v>
      </c>
      <c r="E7" s="16" t="str">
        <f aca="false">IFERROR(IF(COUNT(模試の記録!C3:C10)&lt;3,"",(B7-模試の記録!C3)/(COUNT(模試の記録!C3:C10)-1)),"")</f>
        <v/>
      </c>
      <c r="F7" s="17" t="n">
        <f aca="false">IFERROR(IF(D7&gt;=0,0,IF($B$3=0,"",-D7/$B$3)),"")</f>
        <v>1.33333333333333</v>
      </c>
      <c r="G7" s="14" t="n">
        <f aca="false">IFERROR(IF(D7&gt;=0,B7,ROUND(B7+F7,0)),"")</f>
        <v>53</v>
      </c>
      <c r="H7" s="18" t="str">
        <f aca="false">IFERROR(IF(B7="","",IF(D7&gt;=0,"目安に到達",IF($B$3=0,"残りの模試がありません",IF(E7="","予測データ不足（3回以上で表示）",IF(E7&gt;=F7,"このペースなら届く計算","このペースでは届かない計算（配分の見直し）"))))),"")</f>
        <v>予測データ不足（3回以上で表示）</v>
      </c>
    </row>
    <row r="8" customFormat="false" ht="17.15" hidden="false" customHeight="false" outlineLevel="0" collapsed="false">
      <c r="A8" s="11" t="s">
        <v>13</v>
      </c>
      <c r="B8" s="14" t="n">
        <f aca="false">IFERROR(LOOKUP(2,1/(模試の記録!D3:D10&lt;&gt;""),模試の記録!D3:D10),"")</f>
        <v>56</v>
      </c>
      <c r="C8" s="12" t="n">
        <f aca="false">模試の記録!D2</f>
        <v>60</v>
      </c>
      <c r="D8" s="15" t="n">
        <f aca="false">IFERROR(B8-C8,"")</f>
        <v>-4</v>
      </c>
      <c r="E8" s="16" t="str">
        <f aca="false">IFERROR(IF(COUNT(模試の記録!D3:D10)&lt;3,"",(B8-模試の記録!D3)/(COUNT(模試の記録!D3:D10)-1)),"")</f>
        <v/>
      </c>
      <c r="F8" s="17" t="n">
        <f aca="false">IFERROR(IF(D8&gt;=0,0,IF($B$3=0,"",-D8/$B$3)),"")</f>
        <v>0.666666666666667</v>
      </c>
      <c r="G8" s="14" t="n">
        <f aca="false">IFERROR(IF(D8&gt;=0,B8,ROUND(B8+F8,0)),"")</f>
        <v>57</v>
      </c>
      <c r="H8" s="18" t="str">
        <f aca="false">IFERROR(IF(B8="","",IF(D8&gt;=0,"目安に到達",IF($B$3=0,"残りの模試がありません",IF(E8="","予測データ不足（3回以上で表示）",IF(E8&gt;=F8,"このペースなら届く計算","このペースでは届かない計算（配分の見直し）"))))),"")</f>
        <v>予測データ不足（3回以上で表示）</v>
      </c>
    </row>
    <row r="9" customFormat="false" ht="17.15" hidden="false" customHeight="false" outlineLevel="0" collapsed="false">
      <c r="A9" s="11" t="s">
        <v>14</v>
      </c>
      <c r="B9" s="14" t="n">
        <f aca="false">IFERROR(LOOKUP(2,1/(模試の記録!E3:E10&lt;&gt;""),模試の記録!E3:E10),"")</f>
        <v>54</v>
      </c>
      <c r="C9" s="12" t="n">
        <f aca="false">模試の記録!E2</f>
        <v>60</v>
      </c>
      <c r="D9" s="15" t="n">
        <f aca="false">IFERROR(B9-C9,"")</f>
        <v>-6</v>
      </c>
      <c r="E9" s="16" t="str">
        <f aca="false">IFERROR(IF(COUNT(模試の記録!E3:E10)&lt;3,"",(B9-模試の記録!E3)/(COUNT(模試の記録!E3:E10)-1)),"")</f>
        <v/>
      </c>
      <c r="F9" s="17" t="n">
        <f aca="false">IFERROR(IF(D9&gt;=0,0,IF($B$3=0,"",-D9/$B$3)),"")</f>
        <v>1</v>
      </c>
      <c r="G9" s="14" t="n">
        <f aca="false">IFERROR(IF(D9&gt;=0,B9,ROUND(B9+F9,0)),"")</f>
        <v>55</v>
      </c>
      <c r="H9" s="18" t="str">
        <f aca="false">IFERROR(IF(B9="","",IF(D9&gt;=0,"目安に到達",IF($B$3=0,"残りの模試がありません",IF(E9="","予測データ不足（3回以上で表示）",IF(E9&gt;=F9,"このペースなら届く計算","このペースでは届かない計算（配分の見直し）"))))),"")</f>
        <v>予測データ不足（3回以上で表示）</v>
      </c>
    </row>
    <row r="10" customFormat="false" ht="17.15" hidden="false" customHeight="false" outlineLevel="0" collapsed="false">
      <c r="A10" s="11" t="s">
        <v>15</v>
      </c>
      <c r="B10" s="14" t="n">
        <f aca="false">IFERROR(LOOKUP(2,1/(模試の記録!F3:F10&lt;&gt;""),模試の記録!F3:F10),"")</f>
        <v>55</v>
      </c>
      <c r="C10" s="12" t="n">
        <f aca="false">模試の記録!F2</f>
        <v>60</v>
      </c>
      <c r="D10" s="15" t="n">
        <f aca="false">IFERROR(B10-C10,"")</f>
        <v>-5</v>
      </c>
      <c r="E10" s="16" t="str">
        <f aca="false">IFERROR(IF(COUNT(模試の記録!F3:F10)&lt;3,"",(B10-模試の記録!F3)/(COUNT(模試の記録!F3:F10)-1)),"")</f>
        <v/>
      </c>
      <c r="F10" s="17" t="n">
        <f aca="false">IFERROR(IF(D10&gt;=0,0,IF($B$3=0,"",-D10/$B$3)),"")</f>
        <v>0.833333333333333</v>
      </c>
      <c r="G10" s="14" t="n">
        <f aca="false">IFERROR(IF(D10&gt;=0,B10,ROUND(B10+F10,0)),"")</f>
        <v>56</v>
      </c>
      <c r="H10" s="18" t="str">
        <f aca="false">IFERROR(IF(B10="","",IF(D10&gt;=0,"目安に到達",IF($B$3=0,"残りの模試がありません",IF(E10="","予測データ不足（3回以上で表示）",IF(E10&gt;=F10,"このペースなら届く計算","このペースでは届かない計算（配分の見直し）"))))),"")</f>
        <v>予測データ不足（3回以上で表示）</v>
      </c>
    </row>
    <row r="12" customFormat="false" ht="15" hidden="false" customHeight="false" outlineLevel="0" collapsed="false">
      <c r="A12" s="2" t="s">
        <v>39</v>
      </c>
    </row>
    <row r="13" customFormat="false" ht="15" hidden="false" customHeight="false" outlineLevel="0" collapsed="false">
      <c r="A13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2026-10-30T03:39:02Z</dcterms:created>
  <dc:creator>openpyxl</dc:creator>
  <dc:description/>
  <dc:language>en-US</dc:language>
  <cp:lastModifiedBy/>
  <dcterms:modified xsi:type="dcterms:W3CDTF">2026-10-30T12:39:07Z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
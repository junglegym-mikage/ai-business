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模試の記録" sheetId="3" state="visible" r:id="rId5"/>
    <sheet name="ボード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<sst xmlns="http://schemas.openxmlformats.org/spreadsheetml/2006/main" count="89" uniqueCount="54">
  <si>
    <t xml:space="preserve">④ スマホで見る：受験</t>
  </si>
  <si>
    <t xml:space="preserve">■ 現在地（最新の模試）</t>
  </si>
  <si>
    <t xml:space="preserve">英語</t>
  </si>
  <si>
    <t xml:space="preserve">数学</t>
  </si>
  <si>
    <t xml:space="preserve">国語</t>
  </si>
  <si>
    <t xml:space="preserve">理科</t>
  </si>
  <si>
    <t xml:space="preserve">社会</t>
  </si>
  <si>
    <t xml:space="preserve">■ 次の模試の目標（参考）</t>
  </si>
  <si>
    <t xml:space="preserve">見込みと目標は過去の数値を直線で延ばした参考計算で、合格の可能性の予測ではありません。できるだけ同じ会社・同じシリーズの模試で比べてください。</t>
  </si>
  <si>
    <t xml:space="preserve">受験までの模試の回数（全部）</t>
  </si>
  <si>
    <t xml:space="preserve">■ 数字を入れる（模試ごと・偏差値または点数）</t>
  </si>
  <si>
    <t xml:space="preserve">回</t>
  </si>
  <si>
    <t xml:space="preserve">英</t>
  </si>
  <si>
    <t xml:space="preserve">数</t>
  </si>
  <si>
    <t xml:space="preserve">国</t>
  </si>
  <si>
    <t xml:space="preserve">理</t>
  </si>
  <si>
    <t xml:space="preserve">社</t>
  </si>
  <si>
    <t xml:space="preserve">志望の目安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</si>
  <si>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</si>
  <si>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</si>
  <si>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</si>
  <si>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</si>
  <si>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</si>
  <si>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</si>
  <si>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</si>
  <si>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回目</t>
    </r>
  </si>
  <si>
    <t xml:space="preserve">■ 模試の名前（会社・シリーズ）</t>
  </si>
  <si>
    <t xml:space="preserve">（例）◯◯模試</t>
  </si>
  <si>
    <t xml:space="preserve">■ 教科別の推移</t>
  </si>
  <si>
    <t xml:space="preserve">④ 現在地ボード：受験ロードマップ</t>
  </si>
  <si>
    <t xml:space="preserve">模試・テストの結果が出たら、「スマホ」シートの下にある入力欄に、教科ごとの偏差値（または点数）を入れてください（保護者の方と一緒に）。</t>
  </si>
  <si>
    <r>
      <rPr>
        <sz val="11"/>
        <rFont val="Noto Sans CJK SC"/>
        <family val="2"/>
      </rPr>
      <t xml:space="preserve">入れると、教科ごとの現在地・志望の目安との差・受験までの模試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回あたりに必要な伸び・次の模試での目標が自動で計算されます。</t>
    </r>
  </si>
  <si>
    <t xml:space="preserve">入試日程・制度は学校や教育委員会の公式情報で確認してください。合格を保証するものではありません。受験生の本名・学校名は書かないでください。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</si>
  <si>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</si>
  <si>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</si>
  <si>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</si>
  <si>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</si>
  <si>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</si>
  <si>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</si>
  <si>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模試の名前（会社・シリーズ）</t>
  </si>
  <si>
    <t xml:space="preserve">受験までに受ける模試の回数（全部で）</t>
  </si>
  <si>
    <r>
      <rPr>
        <sz val="11"/>
        <rFont val="Noto Sans CJK SC"/>
        <family val="2"/>
      </rPr>
      <t xml:space="preserve">※ 架空の記入例（中学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年・高校受験）。</t>
    </r>
  </si>
  <si>
    <t xml:space="preserve">現在地ボード：受験</t>
  </si>
  <si>
    <t xml:space="preserve">受けた模試の回数</t>
  </si>
  <si>
    <t xml:space="preserve">受験までの残りの模試の回数</t>
  </si>
  <si>
    <t xml:space="preserve">教科</t>
  </si>
  <si>
    <t xml:space="preserve">現在地</t>
  </si>
  <si>
    <t xml:space="preserve">差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</si>
  <si>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回目からの平均の伸び（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回あたり・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回以上で表示）</t>
    </r>
  </si>
  <si>
    <r>
      <rPr>
        <b val="true"/>
        <sz val="11"/>
        <rFont val="Noto Sans CJK SC"/>
        <family val="2"/>
      </rPr>
      <t xml:space="preserve">目安に届くために必要な伸び（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回あたり）</t>
    </r>
  </si>
  <si>
    <t xml:space="preserve">次の模試の目標（参考）</t>
  </si>
  <si>
    <t xml:space="preserve">今のペースの場合（参考計算）</t>
  </si>
  <si>
    <t xml:space="preserve">※ 見込みと次の模試の目標は、過去の数値を直線で延ばした参考計算で、学力や合格の可能性の予測ではありません。時間配分の見直しは、初回の計画書の方針（または模試後の見直し）を優先してください。</t>
  </si>
  <si>
    <t xml:space="preserve">※ 偏差値は、模試の実施会社・受験者層・問題の難しさで変わります。できるだけ同じ会社・同じシリーズの模試の結果を記録してください。違う模試の偏差値は、単純な伸びとして比べられません。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</si>
</sst>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;\-0;0"/>
    <numFmt numFmtId="167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Noto Sans CJK SC"/>
      <family val="2"/>
    </font>
    <font>
      <sz val="11"/>
      <color rgb="FF0000FF"/>
      <name val="Arial"/>
      <family val="0"/>
      <charset val="1"/>
    </font>
    <font>
      <sz val="11"/>
      <color rgb="FF0000FF"/>
      <name val="Noto Sans CJK SC"/>
      <family val="2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4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"英語"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スマホ!$B$22:$B$29</c:f>
              <c:numCache>
                <c:formatCode>0</c:formatCode>
                <c:ptCount val="8"/>
                <c:pt idx="0">
                  <c:v>58</c:v>
                </c:pt>
                <c:pt idx="1">
                  <c:v>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"数学"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スマホ!$C$22:$C$29</c:f>
              <c:numCache>
                <c:formatCode>0</c:formatCode>
                <c:ptCount val="8"/>
                <c:pt idx="0">
                  <c:v>49</c:v>
                </c:pt>
                <c:pt idx="1">
                  <c:v>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"国語"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スマホ!$D$22:$D$29</c:f>
              <c:numCache>
                <c:formatCode>0</c:formatCode>
                <c:ptCount val="8"/>
                <c:pt idx="0">
                  <c:v>56</c:v>
                </c:pt>
                <c:pt idx="1">
                  <c:v>56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"理科"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スマホ!$E$22:$E$29</c:f>
              <c:numCache>
                <c:formatCode>0</c:formatCode>
                <c:ptCount val="8"/>
                <c:pt idx="0">
                  <c:v>52</c:v>
                </c:pt>
                <c:pt idx="1">
                  <c:v>54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"社会"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スマホ!$F$22:$F$29</c:f>
              <c:numCache>
                <c:formatCode>0</c:formatCode>
                <c:ptCount val="8"/>
                <c:pt idx="0">
                  <c:v>55</c:v>
                </c:pt>
                <c:pt idx="1">
                  <c:v>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659836"/>
        <c:axId val="48983674"/>
      </c:lineChart>
      <c:catAx>
        <c:axId val="456598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83674"/>
        <c:crosses val="autoZero"/>
        <c:auto val="1"/>
        <c:lblAlgn val="ctr"/>
        <c:lblOffset val="100"/>
        <c:noMultiLvlLbl val="0"/>
      </c:catAx>
      <c:valAx>
        <c:axId val="489836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598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"英語"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スマホ!$B$22:$B$29</c:f>
              <c:numCache>
                <c:formatCode>0</c:formatCode>
                <c:ptCount val="8"/>
                <c:pt idx="0">
                  <c:v>58</c:v>
                </c:pt>
                <c:pt idx="1">
                  <c:v>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"数学"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スマホ!$C$22:$C$29</c:f>
              <c:numCache>
                <c:formatCode>0</c:formatCode>
                <c:ptCount val="8"/>
                <c:pt idx="0">
                  <c:v>49</c:v>
                </c:pt>
                <c:pt idx="1">
                  <c:v>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"国語"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スマホ!$D$22:$D$29</c:f>
              <c:numCache>
                <c:formatCode>0</c:formatCode>
                <c:ptCount val="8"/>
                <c:pt idx="0">
                  <c:v>56</c:v>
                </c:pt>
                <c:pt idx="1">
                  <c:v>56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"理科"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スマホ!$E$22:$E$29</c:f>
              <c:numCache>
                <c:formatCode>0</c:formatCode>
                <c:ptCount val="8"/>
                <c:pt idx="0">
                  <c:v>52</c:v>
                </c:pt>
                <c:pt idx="1">
                  <c:v>54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"社会"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スマホ!$F$22:$F$29</c:f>
              <c:numCache>
                <c:formatCode>0</c:formatCode>
                <c:ptCount val="8"/>
                <c:pt idx="0">
                  <c:v>55</c:v>
                </c:pt>
                <c:pt idx="1">
                  <c:v>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7625470"/>
        <c:axId val="99032447"/>
      </c:lineChart>
      <c:catAx>
        <c:axId val="776254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032447"/>
        <c:crosses val="autoZero"/>
        <c:auto val="1"/>
        <c:lblAlgn val="ctr"/>
        <c:lblOffset val="100"/>
        <c:noMultiLvlLbl val="0"/>
      </c:catAx>
      <c:valAx>
        <c:axId val="990324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6254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35</xdr:row>
      <xdr:rowOff>161280</xdr:rowOff>
    </xdr:from>
    <xdr:to>
      <xdr:col>6</xdr:col>
      <xdr:colOff>352080</xdr:colOff>
      <xdr:row>48</xdr:row>
      <xdr:rowOff>95400</xdr:rowOff>
    </xdr:to>
    <xdr:graphicFrame>
      <xdr:nvGraphicFramePr>
        <xdr:cNvPr id="0" name="Chart 1"/>
        <xdr:cNvGraphicFramePr/>
      </xdr:nvGraphicFramePr>
      <xdr:xfrm>
        <a:off x="0" y="9391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159840</xdr:rowOff>
    </xdr:from>
    <xdr:to>
      <xdr:col>6</xdr:col>
      <xdr:colOff>714960</xdr:colOff>
      <xdr:row>29</xdr:row>
      <xdr:rowOff>160920</xdr:rowOff>
    </xdr:to>
    <xdr:graphicFrame>
      <xdr:nvGraphicFramePr>
        <xdr:cNvPr id="1" name="Chart 1"/>
        <xdr:cNvGraphicFramePr/>
      </xdr:nvGraphicFramePr>
      <xdr:xfrm>
        <a:off x="0" y="28764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6.51"/>
  </cols>
  <sheetData>
    <row r="1" customFormat="false" ht="20.1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4" t="str">
        <f aca="false">IF(ボード!B6="","",ボード!B6&amp;"（目安"&amp;ボード!C6&amp;"・差"&amp;TEXT(ボード!D6,"+0;-0;0")&amp;"）")</f>
        <v>59（目安60・差-1）</v>
      </c>
      <c r="C3" s="4"/>
      <c r="D3" s="4"/>
      <c r="E3" s="4"/>
      <c r="F3" s="4"/>
    </row>
    <row r="4" customFormat="false" ht="17.15" hidden="false" customHeight="false" outlineLevel="0" collapsed="false">
      <c r="A4" s="3" t="s">
        <v>3</v>
      </c>
      <c r="B4" s="4" t="str">
        <f aca="false">IF(ボード!B7="","",ボード!B7&amp;"（目安"&amp;ボード!C7&amp;"・差"&amp;TEXT(ボード!D7,"+0;-0;0")&amp;"）")</f>
        <v>52（目安60・差-8）</v>
      </c>
      <c r="C4" s="4"/>
      <c r="D4" s="4"/>
      <c r="E4" s="4"/>
      <c r="F4" s="4"/>
    </row>
    <row r="5" customFormat="false" ht="17.15" hidden="false" customHeight="false" outlineLevel="0" collapsed="false">
      <c r="A5" s="3" t="s">
        <v>4</v>
      </c>
      <c r="B5" s="4" t="str">
        <f aca="false">IF(ボード!B8="","",ボード!B8&amp;"（目安"&amp;ボード!C8&amp;"・差"&amp;TEXT(ボード!D8,"+0;-0;0")&amp;"）")</f>
        <v>56（目安60・差-4）</v>
      </c>
      <c r="C5" s="4"/>
      <c r="D5" s="4"/>
      <c r="E5" s="4"/>
      <c r="F5" s="4"/>
    </row>
    <row r="6" customFormat="false" ht="17.15" hidden="false" customHeight="false" outlineLevel="0" collapsed="false">
      <c r="A6" s="3" t="s">
        <v>5</v>
      </c>
      <c r="B6" s="4" t="str">
        <f aca="false">IF(ボード!B9="","",ボード!B9&amp;"（目安"&amp;ボード!C9&amp;"・差"&amp;TEXT(ボード!D9,"+0;-0;0")&amp;"）")</f>
        <v>54（目安60・差-6）</v>
      </c>
      <c r="C6" s="4"/>
      <c r="D6" s="4"/>
      <c r="E6" s="4"/>
      <c r="F6" s="4"/>
    </row>
    <row r="7" customFormat="false" ht="17.15" hidden="false" customHeight="false" outlineLevel="0" collapsed="false">
      <c r="A7" s="3" t="s">
        <v>6</v>
      </c>
      <c r="B7" s="4" t="str">
        <f aca="false">IF(ボード!B10="","",ボード!B10&amp;"（目安"&amp;ボード!C10&amp;"・差"&amp;TEXT(ボード!D10,"+0;-0;0")&amp;"）")</f>
        <v>55（目安60・差-5）</v>
      </c>
      <c r="C7" s="4"/>
      <c r="D7" s="4"/>
      <c r="E7" s="4"/>
      <c r="F7" s="4"/>
    </row>
    <row r="9" customFormat="false" ht="15" hidden="false" customHeight="false" outlineLevel="0" collapsed="false">
      <c r="A9" s="2" t="s">
        <v>7</v>
      </c>
    </row>
    <row r="10" customFormat="false" ht="30" hidden="false" customHeight="true" outlineLevel="0" collapsed="false">
      <c r="A10" s="3" t="s">
        <v>2</v>
      </c>
      <c r="B10" s="5" t="str">
        <f aca="false">IF(ボード!G6="","",ボード!G6&amp;"　"&amp;ボード!H6)</f>
        <v>59　予測データ不足（3回以上で表示）</v>
      </c>
      <c r="C10" s="5"/>
      <c r="D10" s="5"/>
      <c r="E10" s="5"/>
      <c r="F10" s="5"/>
    </row>
    <row r="11" customFormat="false" ht="30" hidden="false" customHeight="true" outlineLevel="0" collapsed="false">
      <c r="A11" s="3" t="s">
        <v>3</v>
      </c>
      <c r="B11" s="5" t="str">
        <f aca="false">IF(ボード!G7="","",ボード!G7&amp;"　"&amp;ボード!H7)</f>
        <v>53　予測データ不足（3回以上で表示）</v>
      </c>
      <c r="C11" s="5"/>
      <c r="D11" s="5"/>
      <c r="E11" s="5"/>
      <c r="F11" s="5"/>
    </row>
    <row r="12" customFormat="false" ht="30" hidden="false" customHeight="true" outlineLevel="0" collapsed="false">
      <c r="A12" s="3" t="s">
        <v>4</v>
      </c>
      <c r="B12" s="5" t="str">
        <f aca="false">IF(ボード!G8="","",ボード!G8&amp;"　"&amp;ボード!H8)</f>
        <v>57　予測データ不足（3回以上で表示）</v>
      </c>
      <c r="C12" s="5"/>
      <c r="D12" s="5"/>
      <c r="E12" s="5"/>
      <c r="F12" s="5"/>
    </row>
    <row r="13" customFormat="false" ht="30" hidden="false" customHeight="true" outlineLevel="0" collapsed="false">
      <c r="A13" s="3" t="s">
        <v>5</v>
      </c>
      <c r="B13" s="5" t="str">
        <f aca="false">IF(ボード!G9="","",ボード!G9&amp;"　"&amp;ボード!H9)</f>
        <v>55　予測データ不足（3回以上で表示）</v>
      </c>
      <c r="C13" s="5"/>
      <c r="D13" s="5"/>
      <c r="E13" s="5"/>
      <c r="F13" s="5"/>
    </row>
    <row r="14" customFormat="false" ht="30" hidden="false" customHeight="true" outlineLevel="0" collapsed="false">
      <c r="A14" s="3" t="s">
        <v>6</v>
      </c>
      <c r="B14" s="5" t="str">
        <f aca="false">IF(ボード!G10="","",ボード!G10&amp;"　"&amp;ボード!H10)</f>
        <v>56　予測データ不足（3回以上で表示）</v>
      </c>
      <c r="C14" s="5"/>
      <c r="D14" s="5"/>
      <c r="E14" s="5"/>
      <c r="F14" s="5"/>
    </row>
    <row r="15" customFormat="false" ht="48" hidden="false" customHeight="true" outlineLevel="0" collapsed="false">
      <c r="A15" s="6" t="s">
        <v>8</v>
      </c>
      <c r="B15" s="6"/>
      <c r="C15" s="6"/>
      <c r="D15" s="6"/>
      <c r="E15" s="6"/>
      <c r="F15" s="6"/>
    </row>
    <row r="17" customFormat="false" ht="48.5" hidden="false" customHeight="false" outlineLevel="0" collapsed="false">
      <c r="A17" s="3" t="s">
        <v>9</v>
      </c>
      <c r="B17" s="7" t="n">
        <v>8</v>
      </c>
    </row>
    <row r="19" customFormat="false" ht="15" hidden="false" customHeight="false" outlineLevel="0" collapsed="false">
      <c r="A19" s="2" t="s">
        <v>10</v>
      </c>
    </row>
    <row r="20" customFormat="false" ht="31.5" hidden="false" customHeight="true" outlineLevel="0" collapsed="false">
      <c r="A20" s="8" t="s">
        <v>11</v>
      </c>
      <c r="B20" s="8" t="s">
        <v>12</v>
      </c>
      <c r="C20" s="8" t="s">
        <v>13</v>
      </c>
      <c r="D20" s="8" t="s">
        <v>14</v>
      </c>
      <c r="E20" s="8" t="s">
        <v>15</v>
      </c>
      <c r="F20" s="8" t="s">
        <v>16</v>
      </c>
    </row>
    <row r="21" customFormat="false" ht="17.15" hidden="false" customHeight="false" outlineLevel="0" collapsed="false">
      <c r="A21" s="9" t="s">
        <v>17</v>
      </c>
      <c r="B21" s="7" t="n">
        <v>60</v>
      </c>
      <c r="C21" s="7" t="n">
        <v>60</v>
      </c>
      <c r="D21" s="7" t="n">
        <v>60</v>
      </c>
      <c r="E21" s="7" t="n">
        <v>60</v>
      </c>
      <c r="F21" s="7" t="n">
        <v>60</v>
      </c>
    </row>
    <row r="22" customFormat="false" ht="17.15" hidden="false" customHeight="false" outlineLevel="0" collapsed="false">
      <c r="A22" s="4" t="s">
        <v>18</v>
      </c>
      <c r="B22" s="7" t="n">
        <v>58</v>
      </c>
      <c r="C22" s="7" t="n">
        <v>49</v>
      </c>
      <c r="D22" s="7" t="n">
        <v>56</v>
      </c>
      <c r="E22" s="7" t="n">
        <v>52</v>
      </c>
      <c r="F22" s="7" t="n">
        <v>55</v>
      </c>
    </row>
    <row r="23" customFormat="false" ht="17.15" hidden="false" customHeight="false" outlineLevel="0" collapsed="false">
      <c r="A23" s="4" t="s">
        <v>19</v>
      </c>
      <c r="B23" s="7" t="n">
        <v>59</v>
      </c>
      <c r="C23" s="7" t="n">
        <v>52</v>
      </c>
      <c r="D23" s="7" t="n">
        <v>56</v>
      </c>
      <c r="E23" s="7" t="n">
        <v>54</v>
      </c>
      <c r="F23" s="7" t="n">
        <v>55</v>
      </c>
    </row>
    <row r="24" customFormat="false" ht="17.15" hidden="false" customHeight="false" outlineLevel="0" collapsed="false">
      <c r="A24" s="4" t="s">
        <v>20</v>
      </c>
      <c r="B24" s="7"/>
      <c r="C24" s="7"/>
      <c r="D24" s="7"/>
      <c r="E24" s="7"/>
      <c r="F24" s="7"/>
    </row>
    <row r="25" customFormat="false" ht="17.15" hidden="false" customHeight="false" outlineLevel="0" collapsed="false">
      <c r="A25" s="4" t="s">
        <v>21</v>
      </c>
      <c r="B25" s="7"/>
      <c r="C25" s="7"/>
      <c r="D25" s="7"/>
      <c r="E25" s="7"/>
      <c r="F25" s="7"/>
    </row>
    <row r="26" customFormat="false" ht="17.15" hidden="false" customHeight="false" outlineLevel="0" collapsed="false">
      <c r="A26" s="4" t="s">
        <v>22</v>
      </c>
      <c r="B26" s="7"/>
      <c r="C26" s="7"/>
      <c r="D26" s="7"/>
      <c r="E26" s="7"/>
      <c r="F26" s="7"/>
    </row>
    <row r="27" customFormat="false" ht="17.15" hidden="false" customHeight="false" outlineLevel="0" collapsed="false">
      <c r="A27" s="4" t="s">
        <v>23</v>
      </c>
      <c r="B27" s="7"/>
      <c r="C27" s="7"/>
      <c r="D27" s="7"/>
      <c r="E27" s="7"/>
      <c r="F27" s="7"/>
    </row>
    <row r="28" customFormat="false" ht="17.15" hidden="false" customHeight="false" outlineLevel="0" collapsed="false">
      <c r="A28" s="4" t="s">
        <v>24</v>
      </c>
      <c r="B28" s="7"/>
      <c r="C28" s="7"/>
      <c r="D28" s="7"/>
      <c r="E28" s="7"/>
      <c r="F28" s="7"/>
    </row>
    <row r="29" customFormat="false" ht="17.15" hidden="false" customHeight="false" outlineLevel="0" collapsed="false">
      <c r="A29" s="4" t="s">
        <v>25</v>
      </c>
      <c r="B29" s="7"/>
      <c r="C29" s="7"/>
      <c r="D29" s="7"/>
      <c r="E29" s="7"/>
      <c r="F29" s="7"/>
    </row>
    <row r="31" customFormat="false" ht="15" hidden="false" customHeight="false" outlineLevel="0" collapsed="false">
      <c r="A31" s="2" t="s">
        <v>26</v>
      </c>
    </row>
    <row r="32" customFormat="false" ht="17.15" hidden="false" customHeight="false" outlineLevel="0" collapsed="false">
      <c r="A32" s="4" t="s">
        <v>18</v>
      </c>
      <c r="B32" s="10" t="s">
        <v>27</v>
      </c>
      <c r="C32" s="10"/>
      <c r="D32" s="10"/>
      <c r="E32" s="10"/>
      <c r="F32" s="10"/>
    </row>
    <row r="33" customFormat="false" ht="17.15" hidden="false" customHeight="false" outlineLevel="0" collapsed="false">
      <c r="A33" s="4" t="s">
        <v>19</v>
      </c>
      <c r="B33" s="10" t="s">
        <v>27</v>
      </c>
      <c r="C33" s="10"/>
      <c r="D33" s="10"/>
      <c r="E33" s="10"/>
      <c r="F33" s="10"/>
    </row>
    <row r="34" customFormat="false" ht="17.15" hidden="false" customHeight="false" outlineLevel="0" collapsed="false">
      <c r="A34" s="4" t="s">
        <v>20</v>
      </c>
      <c r="B34" s="11"/>
      <c r="C34" s="11"/>
      <c r="D34" s="11"/>
      <c r="E34" s="11"/>
      <c r="F34" s="11"/>
    </row>
    <row r="35" customFormat="false" ht="17.15" hidden="false" customHeight="false" outlineLevel="0" collapsed="false">
      <c r="A35" s="4" t="s">
        <v>21</v>
      </c>
      <c r="B35" s="11"/>
      <c r="C35" s="11"/>
      <c r="D35" s="11"/>
      <c r="E35" s="11"/>
      <c r="F35" s="11"/>
    </row>
    <row r="36" customFormat="false" ht="17.15" hidden="false" customHeight="false" outlineLevel="0" collapsed="false">
      <c r="A36" s="4" t="s">
        <v>22</v>
      </c>
      <c r="B36" s="11"/>
      <c r="C36" s="11"/>
      <c r="D36" s="11"/>
      <c r="E36" s="11"/>
      <c r="F36" s="11"/>
    </row>
    <row r="37" customFormat="false" ht="17.15" hidden="false" customHeight="false" outlineLevel="0" collapsed="false">
      <c r="A37" s="4" t="s">
        <v>23</v>
      </c>
      <c r="B37" s="11"/>
      <c r="C37" s="11"/>
      <c r="D37" s="11"/>
      <c r="E37" s="11"/>
      <c r="F37" s="11"/>
    </row>
    <row r="38" customFormat="false" ht="17.15" hidden="false" customHeight="false" outlineLevel="0" collapsed="false">
      <c r="A38" s="4" t="s">
        <v>24</v>
      </c>
      <c r="B38" s="11"/>
      <c r="C38" s="11"/>
      <c r="D38" s="11"/>
      <c r="E38" s="11"/>
      <c r="F38" s="11"/>
    </row>
    <row r="39" customFormat="false" ht="17.15" hidden="false" customHeight="false" outlineLevel="0" collapsed="false">
      <c r="A39" s="4" t="s">
        <v>25</v>
      </c>
      <c r="B39" s="11"/>
      <c r="C39" s="11"/>
      <c r="D39" s="11"/>
      <c r="E39" s="11"/>
      <c r="F39" s="11"/>
    </row>
    <row r="41" customFormat="false" ht="15" hidden="false" customHeight="false" outlineLevel="0" collapsed="false">
      <c r="A41" s="2" t="s">
        <v>28</v>
      </c>
    </row>
  </sheetData>
  <mergeCells count="20">
    <mergeCell ref="A1:F1"/>
    <mergeCell ref="B3:F3"/>
    <mergeCell ref="B4:F4"/>
    <mergeCell ref="B5:F5"/>
    <mergeCell ref="B6:F6"/>
    <mergeCell ref="B7:F7"/>
    <mergeCell ref="B10:F10"/>
    <mergeCell ref="B11:F11"/>
    <mergeCell ref="B12:F12"/>
    <mergeCell ref="B13:F13"/>
    <mergeCell ref="B14:F14"/>
    <mergeCell ref="A15:F15"/>
    <mergeCell ref="B32:F32"/>
    <mergeCell ref="B33:F33"/>
    <mergeCell ref="B34:F34"/>
    <mergeCell ref="B35:F35"/>
    <mergeCell ref="B36:F36"/>
    <mergeCell ref="B37:F37"/>
    <mergeCell ref="B38:F38"/>
    <mergeCell ref="B39:F39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B17 B21:F29 B34:B3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2" t="s">
        <v>29</v>
      </c>
    </row>
    <row r="3" customFormat="false" ht="15" hidden="false" customHeight="false" outlineLevel="0" collapsed="false">
      <c r="A3" s="13" t="s">
        <v>30</v>
      </c>
    </row>
    <row r="4" customFormat="false" ht="17.15" hidden="false" customHeight="false" outlineLevel="0" collapsed="false">
      <c r="A4" s="13" t="s">
        <v>31</v>
      </c>
    </row>
    <row r="5" customFormat="false" ht="15" hidden="false" customHeight="false" outlineLevel="0" collapsed="false">
      <c r="A5" s="13" t="s">
        <v>32</v>
      </c>
    </row>
    <row r="7" customFormat="false" ht="15" hidden="false" customHeight="false" outlineLevel="0" collapsed="false">
      <c r="A7" s="2" t="s">
        <v>33</v>
      </c>
    </row>
    <row r="8" customFormat="false" ht="15" hidden="false" customHeight="false" outlineLevel="0" collapsed="false">
      <c r="A8" s="14" t="s">
        <v>34</v>
      </c>
    </row>
    <row r="9" customFormat="false" ht="15" hidden="false" customHeight="false" outlineLevel="0" collapsed="false">
      <c r="A9" s="15" t="s">
        <v>35</v>
      </c>
    </row>
    <row r="10" customFormat="false" ht="15" hidden="false" customHeight="false" outlineLevel="0" collapsed="false">
      <c r="A10" s="13" t="s">
        <v>36</v>
      </c>
    </row>
    <row r="11" customFormat="false" ht="15" hidden="false" customHeight="false" outlineLevel="0" collapsed="false">
      <c r="A11" s="13" t="s">
        <v>37</v>
      </c>
    </row>
    <row r="13" customFormat="false" ht="17.15" hidden="false" customHeight="false" outlineLevel="0" collapsed="false">
      <c r="A13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9"/>
  </cols>
  <sheetData>
    <row r="1" customFormat="false" ht="31.5" hidden="false" customHeight="true" outlineLevel="0" collapsed="false">
      <c r="A1" s="8" t="s">
        <v>11</v>
      </c>
      <c r="B1" s="8" t="s">
        <v>2</v>
      </c>
      <c r="C1" s="8" t="s">
        <v>3</v>
      </c>
      <c r="D1" s="8" t="s">
        <v>4</v>
      </c>
      <c r="E1" s="8" t="s">
        <v>5</v>
      </c>
      <c r="F1" s="8" t="s">
        <v>6</v>
      </c>
      <c r="G1" s="8" t="s">
        <v>39</v>
      </c>
    </row>
    <row r="2" customFormat="false" ht="15" hidden="false" customHeight="false" outlineLevel="0" collapsed="false">
      <c r="A2" s="16" t="s">
        <v>17</v>
      </c>
      <c r="B2" s="17" t="n">
        <f aca="false">IF(スマホ!B21="","",スマホ!B21)</f>
        <v>60</v>
      </c>
      <c r="C2" s="17" t="n">
        <f aca="false">IF(スマホ!C21="","",スマホ!C21)</f>
        <v>60</v>
      </c>
      <c r="D2" s="17" t="n">
        <f aca="false">IF(スマホ!D21="","",スマホ!D21)</f>
        <v>60</v>
      </c>
      <c r="E2" s="17" t="n">
        <f aca="false">IF(スマホ!E21="","",スマホ!E21)</f>
        <v>60</v>
      </c>
      <c r="F2" s="17" t="n">
        <f aca="false">IF(スマホ!F21="","",スマホ!F21)</f>
        <v>60</v>
      </c>
    </row>
    <row r="3" customFormat="false" ht="17.15" hidden="false" customHeight="false" outlineLevel="0" collapsed="false">
      <c r="A3" s="18" t="s">
        <v>18</v>
      </c>
      <c r="B3" s="17" t="n">
        <f aca="false">IF(スマホ!B22="","",スマホ!B22)</f>
        <v>58</v>
      </c>
      <c r="C3" s="17" t="n">
        <f aca="false">IF(スマホ!C22="","",スマホ!C22)</f>
        <v>49</v>
      </c>
      <c r="D3" s="17" t="n">
        <f aca="false">IF(スマホ!D22="","",スマホ!D22)</f>
        <v>56</v>
      </c>
      <c r="E3" s="17" t="n">
        <f aca="false">IF(スマホ!E22="","",スマホ!E22)</f>
        <v>52</v>
      </c>
      <c r="F3" s="17" t="n">
        <f aca="false">IF(スマホ!F22="","",スマホ!F22)</f>
        <v>55</v>
      </c>
      <c r="G3" s="16" t="str">
        <f aca="false">IF(スマホ!B32="","",スマホ!B32)</f>
        <v>（例）◯◯模試</v>
      </c>
    </row>
    <row r="4" customFormat="false" ht="17.15" hidden="false" customHeight="false" outlineLevel="0" collapsed="false">
      <c r="A4" s="18" t="s">
        <v>19</v>
      </c>
      <c r="B4" s="17" t="n">
        <f aca="false">IF(スマホ!B23="","",スマホ!B23)</f>
        <v>59</v>
      </c>
      <c r="C4" s="17" t="n">
        <f aca="false">IF(スマホ!C23="","",スマホ!C23)</f>
        <v>52</v>
      </c>
      <c r="D4" s="17" t="n">
        <f aca="false">IF(スマホ!D23="","",スマホ!D23)</f>
        <v>56</v>
      </c>
      <c r="E4" s="17" t="n">
        <f aca="false">IF(スマホ!E23="","",スマホ!E23)</f>
        <v>54</v>
      </c>
      <c r="F4" s="17" t="n">
        <f aca="false">IF(スマホ!F23="","",スマホ!F23)</f>
        <v>55</v>
      </c>
      <c r="G4" s="16" t="str">
        <f aca="false">IF(スマホ!B33="","",スマホ!B33)</f>
        <v>（例）◯◯模試</v>
      </c>
    </row>
    <row r="5" customFormat="false" ht="17.15" hidden="false" customHeight="false" outlineLevel="0" collapsed="false">
      <c r="A5" s="18" t="s">
        <v>20</v>
      </c>
      <c r="B5" s="17" t="str">
        <f aca="false">IF(スマホ!B24="","",スマホ!B24)</f>
        <v/>
      </c>
      <c r="C5" s="17" t="str">
        <f aca="false">IF(スマホ!C24="","",スマホ!C24)</f>
        <v/>
      </c>
      <c r="D5" s="17" t="str">
        <f aca="false">IF(スマホ!D24="","",スマホ!D24)</f>
        <v/>
      </c>
      <c r="E5" s="17" t="str">
        <f aca="false">IF(スマホ!E24="","",スマホ!E24)</f>
        <v/>
      </c>
      <c r="F5" s="17" t="str">
        <f aca="false">IF(スマホ!F24="","",スマホ!F24)</f>
        <v/>
      </c>
      <c r="G5" s="16" t="str">
        <f aca="false">IF(スマホ!B34="","",スマホ!B34)</f>
        <v/>
      </c>
    </row>
    <row r="6" customFormat="false" ht="17.15" hidden="false" customHeight="false" outlineLevel="0" collapsed="false">
      <c r="A6" s="18" t="s">
        <v>21</v>
      </c>
      <c r="B6" s="17" t="str">
        <f aca="false">IF(スマホ!B25="","",スマホ!B25)</f>
        <v/>
      </c>
      <c r="C6" s="17" t="str">
        <f aca="false">IF(スマホ!C25="","",スマホ!C25)</f>
        <v/>
      </c>
      <c r="D6" s="17" t="str">
        <f aca="false">IF(スマホ!D25="","",スマホ!D25)</f>
        <v/>
      </c>
      <c r="E6" s="17" t="str">
        <f aca="false">IF(スマホ!E25="","",スマホ!E25)</f>
        <v/>
      </c>
      <c r="F6" s="17" t="str">
        <f aca="false">IF(スマホ!F25="","",スマホ!F25)</f>
        <v/>
      </c>
      <c r="G6" s="16" t="str">
        <f aca="false">IF(スマホ!B35="","",スマホ!B35)</f>
        <v/>
      </c>
    </row>
    <row r="7" customFormat="false" ht="17.15" hidden="false" customHeight="false" outlineLevel="0" collapsed="false">
      <c r="A7" s="18" t="s">
        <v>22</v>
      </c>
      <c r="B7" s="17" t="str">
        <f aca="false">IF(スマホ!B26="","",スマホ!B26)</f>
        <v/>
      </c>
      <c r="C7" s="17" t="str">
        <f aca="false">IF(スマホ!C26="","",スマホ!C26)</f>
        <v/>
      </c>
      <c r="D7" s="17" t="str">
        <f aca="false">IF(スマホ!D26="","",スマホ!D26)</f>
        <v/>
      </c>
      <c r="E7" s="17" t="str">
        <f aca="false">IF(スマホ!E26="","",スマホ!E26)</f>
        <v/>
      </c>
      <c r="F7" s="17" t="str">
        <f aca="false">IF(スマホ!F26="","",スマホ!F26)</f>
        <v/>
      </c>
      <c r="G7" s="16" t="str">
        <f aca="false">IF(スマホ!B36="","",スマホ!B36)</f>
        <v/>
      </c>
    </row>
    <row r="8" customFormat="false" ht="17.15" hidden="false" customHeight="false" outlineLevel="0" collapsed="false">
      <c r="A8" s="18" t="s">
        <v>23</v>
      </c>
      <c r="B8" s="17" t="str">
        <f aca="false">IF(スマホ!B27="","",スマホ!B27)</f>
        <v/>
      </c>
      <c r="C8" s="17" t="str">
        <f aca="false">IF(スマホ!C27="","",スマホ!C27)</f>
        <v/>
      </c>
      <c r="D8" s="17" t="str">
        <f aca="false">IF(スマホ!D27="","",スマホ!D27)</f>
        <v/>
      </c>
      <c r="E8" s="17" t="str">
        <f aca="false">IF(スマホ!E27="","",スマホ!E27)</f>
        <v/>
      </c>
      <c r="F8" s="17" t="str">
        <f aca="false">IF(スマホ!F27="","",スマホ!F27)</f>
        <v/>
      </c>
      <c r="G8" s="16" t="str">
        <f aca="false">IF(スマホ!B37="","",スマホ!B37)</f>
        <v/>
      </c>
    </row>
    <row r="9" customFormat="false" ht="17.15" hidden="false" customHeight="false" outlineLevel="0" collapsed="false">
      <c r="A9" s="18" t="s">
        <v>24</v>
      </c>
      <c r="B9" s="17" t="str">
        <f aca="false">IF(スマホ!B28="","",スマホ!B28)</f>
        <v/>
      </c>
      <c r="C9" s="17" t="str">
        <f aca="false">IF(スマホ!C28="","",スマホ!C28)</f>
        <v/>
      </c>
      <c r="D9" s="17" t="str">
        <f aca="false">IF(スマホ!D28="","",スマホ!D28)</f>
        <v/>
      </c>
      <c r="E9" s="17" t="str">
        <f aca="false">IF(スマホ!E28="","",スマホ!E28)</f>
        <v/>
      </c>
      <c r="F9" s="17" t="str">
        <f aca="false">IF(スマホ!F28="","",スマホ!F28)</f>
        <v/>
      </c>
      <c r="G9" s="16" t="str">
        <f aca="false">IF(スマホ!B38="","",スマホ!B38)</f>
        <v/>
      </c>
    </row>
    <row r="10" customFormat="false" ht="17.15" hidden="false" customHeight="false" outlineLevel="0" collapsed="false">
      <c r="A10" s="18" t="s">
        <v>25</v>
      </c>
      <c r="B10" s="17" t="str">
        <f aca="false">IF(スマホ!B29="","",スマホ!B29)</f>
        <v/>
      </c>
      <c r="C10" s="17" t="str">
        <f aca="false">IF(スマホ!C29="","",スマホ!C29)</f>
        <v/>
      </c>
      <c r="D10" s="17" t="str">
        <f aca="false">IF(スマホ!D29="","",スマホ!D29)</f>
        <v/>
      </c>
      <c r="E10" s="17" t="str">
        <f aca="false">IF(スマホ!E29="","",スマホ!E29)</f>
        <v/>
      </c>
      <c r="F10" s="17" t="str">
        <f aca="false">IF(スマホ!F29="","",スマホ!F29)</f>
        <v/>
      </c>
      <c r="G10" s="16" t="str">
        <f aca="false">IF(スマホ!B39="","",スマホ!B39)</f>
        <v/>
      </c>
    </row>
    <row r="12" customFormat="false" ht="32.8" hidden="false" customHeight="false" outlineLevel="0" collapsed="false">
      <c r="A12" s="3" t="s">
        <v>40</v>
      </c>
      <c r="B12" s="17" t="n">
        <f aca="false">スマホ!B17</f>
        <v>8</v>
      </c>
    </row>
    <row r="13" customFormat="false" ht="17.15" hidden="false" customHeight="false" outlineLevel="0" collapsed="false">
      <c r="A13" s="1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2" t="s">
        <v>42</v>
      </c>
    </row>
    <row r="2" customFormat="false" ht="17.15" hidden="false" customHeight="false" outlineLevel="0" collapsed="false">
      <c r="A2" s="3" t="s">
        <v>43</v>
      </c>
      <c r="B2" s="17" t="n">
        <f aca="false">MAX(COUNT(模試の記録!B3:B10),COUNT(模試の記録!C3:C10),COUNT(模試の記録!D3:D10),COUNT(模試の記録!E3:E10),COUNT(模試の記録!F3:F10))</f>
        <v>2</v>
      </c>
    </row>
    <row r="3" customFormat="false" ht="17.15" hidden="false" customHeight="false" outlineLevel="0" collapsed="false">
      <c r="A3" s="3" t="s">
        <v>44</v>
      </c>
      <c r="B3" s="17" t="n">
        <f aca="false">MAX(模試の記録!B12-B2,0)</f>
        <v>6</v>
      </c>
    </row>
    <row r="5" customFormat="false" ht="31.5" hidden="false" customHeight="true" outlineLevel="0" collapsed="false">
      <c r="A5" s="8" t="s">
        <v>45</v>
      </c>
      <c r="B5" s="8" t="s">
        <v>46</v>
      </c>
      <c r="C5" s="8" t="s">
        <v>17</v>
      </c>
      <c r="D5" s="8" t="s">
        <v>47</v>
      </c>
      <c r="E5" s="19" t="s">
        <v>48</v>
      </c>
      <c r="F5" s="8" t="s">
        <v>49</v>
      </c>
      <c r="G5" s="8" t="s">
        <v>50</v>
      </c>
      <c r="H5" s="8" t="s">
        <v>51</v>
      </c>
    </row>
    <row r="6" customFormat="false" ht="17.15" hidden="false" customHeight="false" outlineLevel="0" collapsed="false">
      <c r="A6" s="3" t="s">
        <v>2</v>
      </c>
      <c r="B6" s="20" t="n">
        <f aca="false">IFERROR(INDEX(模試の記録!B3:B10,MATCH(9.99E+307,模試の記録!B3:B10)),"")</f>
        <v>59</v>
      </c>
      <c r="C6" s="17" t="n">
        <f aca="false">模試の記録!B2</f>
        <v>60</v>
      </c>
      <c r="D6" s="21" t="n">
        <f aca="false">IFERROR(B6-C6,"")</f>
        <v>-1</v>
      </c>
      <c r="E6" s="22" t="str">
        <f aca="false">IFERROR(IF(COUNT(模試の記録!B3:B10)&lt;3,"",(B6-模試の記録!B3)/(COUNT(模試の記録!B3:B10)-1)),"")</f>
        <v/>
      </c>
      <c r="F6" s="23" t="n">
        <f aca="false">IFERROR(IF(D6&gt;=0,0,IF($B$3=0,"",-D6/$B$3)),"")</f>
        <v>0.166666666666667</v>
      </c>
      <c r="G6" s="20" t="n">
        <f aca="false">IFERROR(IF(D6&gt;=0,B6,ROUND(B6+F6,0)),"")</f>
        <v>59</v>
      </c>
      <c r="H6" s="24" t="str">
        <f aca="false">IFERROR(IF(B6="","",IF(D6&gt;=0,"目安に到達",IF($B$3=0,"残りの模試がありません",IF(E6="","予測データ不足（3回以上で表示）",IF(E6&gt;=F6,"このペースなら届く計算","このペースでは届かない計算（配分の見直し）"))))),"")</f>
        <v>予測データ不足（3回以上で表示）</v>
      </c>
    </row>
    <row r="7" customFormat="false" ht="17.15" hidden="false" customHeight="false" outlineLevel="0" collapsed="false">
      <c r="A7" s="3" t="s">
        <v>3</v>
      </c>
      <c r="B7" s="20" t="n">
        <f aca="false">IFERROR(INDEX(模試の記録!C3:C10,MATCH(9.99E+307,模試の記録!C3:C10)),"")</f>
        <v>52</v>
      </c>
      <c r="C7" s="17" t="n">
        <f aca="false">模試の記録!C2</f>
        <v>60</v>
      </c>
      <c r="D7" s="21" t="n">
        <f aca="false">IFERROR(B7-C7,"")</f>
        <v>-8</v>
      </c>
      <c r="E7" s="22" t="str">
        <f aca="false">IFERROR(IF(COUNT(模試の記録!C3:C10)&lt;3,"",(B7-模試の記録!C3)/(COUNT(模試の記録!C3:C10)-1)),"")</f>
        <v/>
      </c>
      <c r="F7" s="23" t="n">
        <f aca="false">IFERROR(IF(D7&gt;=0,0,IF($B$3=0,"",-D7/$B$3)),"")</f>
        <v>1.33333333333333</v>
      </c>
      <c r="G7" s="20" t="n">
        <f aca="false">IFERROR(IF(D7&gt;=0,B7,ROUND(B7+F7,0)),"")</f>
        <v>53</v>
      </c>
      <c r="H7" s="24" t="str">
        <f aca="false">IFERROR(IF(B7="","",IF(D7&gt;=0,"目安に到達",IF($B$3=0,"残りの模試がありません",IF(E7="","予測データ不足（3回以上で表示）",IF(E7&gt;=F7,"このペースなら届く計算","このペースでは届かない計算（配分の見直し）"))))),"")</f>
        <v>予測データ不足（3回以上で表示）</v>
      </c>
    </row>
    <row r="8" customFormat="false" ht="17.15" hidden="false" customHeight="false" outlineLevel="0" collapsed="false">
      <c r="A8" s="3" t="s">
        <v>4</v>
      </c>
      <c r="B8" s="20" t="n">
        <f aca="false">IFERROR(INDEX(模試の記録!D3:D10,MATCH(9.99E+307,模試の記録!D3:D10)),"")</f>
        <v>56</v>
      </c>
      <c r="C8" s="17" t="n">
        <f aca="false">模試の記録!D2</f>
        <v>60</v>
      </c>
      <c r="D8" s="21" t="n">
        <f aca="false">IFERROR(B8-C8,"")</f>
        <v>-4</v>
      </c>
      <c r="E8" s="22" t="str">
        <f aca="false">IFERROR(IF(COUNT(模試の記録!D3:D10)&lt;3,"",(B8-模試の記録!D3)/(COUNT(模試の記録!D3:D10)-1)),"")</f>
        <v/>
      </c>
      <c r="F8" s="23" t="n">
        <f aca="false">IFERROR(IF(D8&gt;=0,0,IF($B$3=0,"",-D8/$B$3)),"")</f>
        <v>0.666666666666667</v>
      </c>
      <c r="G8" s="20" t="n">
        <f aca="false">IFERROR(IF(D8&gt;=0,B8,ROUND(B8+F8,0)),"")</f>
        <v>57</v>
      </c>
      <c r="H8" s="24" t="str">
        <f aca="false">IFERROR(IF(B8="","",IF(D8&gt;=0,"目安に到達",IF($B$3=0,"残りの模試がありません",IF(E8="","予測データ不足（3回以上で表示）",IF(E8&gt;=F8,"このペースなら届く計算","このペースでは届かない計算（配分の見直し）"))))),"")</f>
        <v>予測データ不足（3回以上で表示）</v>
      </c>
    </row>
    <row r="9" customFormat="false" ht="17.15" hidden="false" customHeight="false" outlineLevel="0" collapsed="false">
      <c r="A9" s="3" t="s">
        <v>5</v>
      </c>
      <c r="B9" s="20" t="n">
        <f aca="false">IFERROR(INDEX(模試の記録!E3:E10,MATCH(9.99E+307,模試の記録!E3:E10)),"")</f>
        <v>54</v>
      </c>
      <c r="C9" s="17" t="n">
        <f aca="false">模試の記録!E2</f>
        <v>60</v>
      </c>
      <c r="D9" s="21" t="n">
        <f aca="false">IFERROR(B9-C9,"")</f>
        <v>-6</v>
      </c>
      <c r="E9" s="22" t="str">
        <f aca="false">IFERROR(IF(COUNT(模試の記録!E3:E10)&lt;3,"",(B9-模試の記録!E3)/(COUNT(模試の記録!E3:E10)-1)),"")</f>
        <v/>
      </c>
      <c r="F9" s="23" t="n">
        <f aca="false">IFERROR(IF(D9&gt;=0,0,IF($B$3=0,"",-D9/$B$3)),"")</f>
        <v>1</v>
      </c>
      <c r="G9" s="20" t="n">
        <f aca="false">IFERROR(IF(D9&gt;=0,B9,ROUND(B9+F9,0)),"")</f>
        <v>55</v>
      </c>
      <c r="H9" s="24" t="str">
        <f aca="false">IFERROR(IF(B9="","",IF(D9&gt;=0,"目安に到達",IF($B$3=0,"残りの模試がありません",IF(E9="","予測データ不足（3回以上で表示）",IF(E9&gt;=F9,"このペースなら届く計算","このペースでは届かない計算（配分の見直し）"))))),"")</f>
        <v>予測データ不足（3回以上で表示）</v>
      </c>
    </row>
    <row r="10" customFormat="false" ht="17.15" hidden="false" customHeight="false" outlineLevel="0" collapsed="false">
      <c r="A10" s="3" t="s">
        <v>6</v>
      </c>
      <c r="B10" s="20" t="n">
        <f aca="false">IFERROR(INDEX(模試の記録!F3:F10,MATCH(9.99E+307,模試の記録!F3:F10)),"")</f>
        <v>55</v>
      </c>
      <c r="C10" s="17" t="n">
        <f aca="false">模試の記録!F2</f>
        <v>60</v>
      </c>
      <c r="D10" s="21" t="n">
        <f aca="false">IFERROR(B10-C10,"")</f>
        <v>-5</v>
      </c>
      <c r="E10" s="22" t="str">
        <f aca="false">IFERROR(IF(COUNT(模試の記録!F3:F10)&lt;3,"",(B10-模試の記録!F3)/(COUNT(模試の記録!F3:F10)-1)),"")</f>
        <v/>
      </c>
      <c r="F10" s="23" t="n">
        <f aca="false">IFERROR(IF(D10&gt;=0,0,IF($B$3=0,"",-D10/$B$3)),"")</f>
        <v>0.833333333333333</v>
      </c>
      <c r="G10" s="20" t="n">
        <f aca="false">IFERROR(IF(D10&gt;=0,B10,ROUND(B10+F10,0)),"")</f>
        <v>56</v>
      </c>
      <c r="H10" s="24" t="str">
        <f aca="false">IFERROR(IF(B10="","",IF(D10&gt;=0,"目安に到達",IF($B$3=0,"残りの模試がありません",IF(E10="","予測データ不足（3回以上で表示）",IF(E10&gt;=F10,"このペースなら届く計算","このペースでは届かない計算（配分の見直し）"))))),"")</f>
        <v>予測データ不足（3回以上で表示）</v>
      </c>
    </row>
    <row r="12" customFormat="false" ht="15" hidden="false" customHeight="false" outlineLevel="0" collapsed="false">
      <c r="A12" s="13" t="s">
        <v>52</v>
      </c>
    </row>
    <row r="13" customFormat="false" ht="15" hidden="false" customHeight="false" outlineLevel="0" collapsed="false">
      <c r="A13" s="1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2026-10-30T07:04:20Z</dcterms:created>
  <dc:creator>openpyxl</dc:creator>
  <dc:description/>
  <dc:language>en-US</dc:language>
  <cp:lastModifiedBy/>
  <dcterms:modified xsi:type="dcterms:W3CDTF">2026-10-30T16:05:02Z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
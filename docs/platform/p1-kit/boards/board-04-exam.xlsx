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模試の記録" sheetId="2" state="visible" r:id="rId4"/>
    <sheet name="ボード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<sst xmlns="http://schemas.openxmlformats.org/spreadsheetml/2006/main" count="36" uniqueCount="30">
  <si>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④ 現在地ボード：受験ロードマップ</t>
  </si>
  <si>
    <t xml:space="preserve">模試・テストの結果が出たら、「模試の記録」シートに教科ごとの偏差値（または点数）を入れてください（保護者の方と一緒に）。</t>
  </si>
  <si>
    <t xml:space="preserve">「目安」行は初回の計画書の志望の目安を転記します。</t>
  </si>
  <si>
    <t xml:space="preserve">受験生の本名・学校名は書かないでください。入試日程・制度は必ず学校や教育委員会の公式情報で確認してください。合格を保証するものではありません。</t>
  </si>
  <si>
    <t xml:space="preserve">凡例</t>
  </si>
  <si>
    <t xml:space="preserve">黄色のセル＝あなたが入力する欄（青字）</t>
  </si>
  <si>
    <t xml:space="preserve">白いセル＝自動計算（触らない）</t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</si>
  <si>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行目の数字は記入例（架空）です。上書きしてお使いください。</t>
    </r>
  </si>
  <si>
    <r>
      <rPr>
        <sz val="11"/>
        <color theme="1"/>
        <rFont val="Noto Sans CJK SC"/>
        <family val="2"/>
      </rPr>
      <t xml:space="preserve">このシートは目安を可視化するもので、結果を保証するものではありません。氏名・口座番号・</t>
    </r>
    <r>
      <rPr>
        <sz val="11"/>
        <color theme="1"/>
        <rFont val="Arial"/>
        <family val="0"/>
        <charset val="1"/>
      </rPr>
      <t xml:space="preserve">ID</t>
    </r>
    <r>
      <rPr>
        <sz val="11"/>
        <color theme="1"/>
        <rFont val="Noto Sans CJK SC"/>
        <family val="2"/>
      </rPr>
      <t xml:space="preserve">・パスワードなどは書かないでください。</t>
    </r>
  </si>
  <si>
    <t xml:space="preserve">回</t>
  </si>
  <si>
    <t xml:space="preserve">英語</t>
  </si>
  <si>
    <t xml:space="preserve">数学</t>
  </si>
  <si>
    <t xml:space="preserve">国語</t>
  </si>
  <si>
    <t xml:space="preserve">理科</t>
  </si>
  <si>
    <t xml:space="preserve">社会</t>
  </si>
  <si>
    <r>
      <rPr>
        <b val="true"/>
        <sz val="11"/>
        <rFont val="Arial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教科の平均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</si>
  <si>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週間の学習時間（時間）</t>
    </r>
  </si>
  <si>
    <t xml:space="preserve">志望の目安</t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</si>
  <si>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回目</t>
    </r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</si>
  <si>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回目</t>
    </r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</si>
  <si>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回目</t>
    </r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</si>
  <si>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Noto Sans CJK SC"/>
        <family val="2"/>
      </rPr>
      <t xml:space="preserve">回目</t>
    </r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</si>
  <si>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回目</t>
    </r>
  </si>
  <si>
    <r>
      <rPr>
        <sz val="11"/>
        <color theme="1"/>
        <rFont val="Noto Sans CJK SC"/>
        <family val="2"/>
      </rPr>
      <t xml:space="preserve">※ 架空の記入例（中学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年・高校受験）です。</t>
    </r>
  </si>
  <si>
    <t xml:space="preserve">現在地ボード：受験</t>
  </si>
  <si>
    <t xml:space="preserve">教科</t>
  </si>
  <si>
    <t xml:space="preserve">最新</t>
  </si>
  <si>
    <t xml:space="preserve">差</t>
  </si>
  <si>
    <t xml:space="preserve">優先度</t>
  </si>
  <si>
    <r>
      <rPr>
        <sz val="11"/>
        <color theme="1"/>
        <rFont val="Noto Sans CJK SC"/>
        <family val="2"/>
      </rPr>
      <t xml:space="preserve">※ 差が−</t>
    </r>
    <r>
      <rPr>
        <sz val="11"/>
        <color theme="1"/>
        <rFont val="Arial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以下を「最優先」、</t>
    </r>
    <r>
      <rPr>
        <sz val="11"/>
        <color theme="1"/>
        <rFont val="Arial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未満を「強化」として表示する目安です（初回の計画書の方針を優先してください）。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</si>
</sst>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;\-0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sz val="11"/>
      <color rgb="FF0000FF"/>
      <name val="Noto Sans CJK SC"/>
      <family val="2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6F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2CC"/>
      <rgbColor rgb="FFDDE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5教科の平均の推移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模試の記録!G1</c:f>
              <c:strCache>
                <c:ptCount val="1"/>
                <c:pt idx="0">
                  <c:v>5教科の平均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模試の記録!$A$2:$A$7</c:f>
              <c:strCache>
                <c:ptCount val="6"/>
                <c:pt idx="0">
                  <c:v>志望の目安</c:v>
                </c:pt>
                <c:pt idx="1">
                  <c:v>1回目</c:v>
                </c:pt>
                <c:pt idx="2">
                  <c:v>2回目</c:v>
                </c:pt>
                <c:pt idx="3">
                  <c:v>3回目</c:v>
                </c:pt>
                <c:pt idx="4">
                  <c:v>4回目</c:v>
                </c:pt>
                <c:pt idx="5">
                  <c:v>5回目</c:v>
                </c:pt>
              </c:strCache>
            </c:strRef>
          </c:cat>
          <c:val>
            <c:numRef>
              <c:f>模試の記録!$G$2:$G$7</c:f>
              <c:numCache>
                <c:formatCode>0.0</c:formatCode>
                <c:ptCount val="6"/>
                <c:pt idx="0">
                  <c:v>60</c:v>
                </c:pt>
                <c:pt idx="1">
                  <c:v>54</c:v>
                </c:pt>
                <c:pt idx="2">
                  <c:v>55.2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041727"/>
        <c:axId val="1439320"/>
      </c:lineChart>
      <c:catAx>
        <c:axId val="3704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9320"/>
        <c:crosses val="autoZero"/>
        <c:auto val="1"/>
        <c:lblAlgn val="ctr"/>
        <c:lblOffset val="100"/>
        <c:noMultiLvlLbl val="0"/>
      </c:catAx>
      <c:valAx>
        <c:axId val="1439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417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16</xdr:col>
      <xdr:colOff>364680</xdr:colOff>
      <xdr:row>16</xdr:row>
      <xdr:rowOff>128160</xdr:rowOff>
    </xdr:to>
    <xdr:graphicFrame>
      <xdr:nvGraphicFramePr>
        <xdr:cNvPr id="0" name="Chart 1"/>
        <xdr:cNvGraphicFramePr/>
      </xdr:nvGraphicFramePr>
      <xdr:xfrm>
        <a:off x="484056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5" t="s">
        <v>7</v>
      </c>
    </row>
    <row r="12" customFormat="false" ht="17.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8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32.8" hidden="false" customHeight="false" outlineLevel="0" collapsed="false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7" t="s">
        <v>15</v>
      </c>
      <c r="H1" s="7" t="s">
        <v>16</v>
      </c>
    </row>
    <row r="2" customFormat="false" ht="15" hidden="false" customHeight="false" outlineLevel="0" collapsed="false">
      <c r="A2" s="8" t="s">
        <v>17</v>
      </c>
      <c r="B2" s="8" t="n">
        <v>60</v>
      </c>
      <c r="C2" s="8" t="n">
        <v>60</v>
      </c>
      <c r="D2" s="8" t="n">
        <v>60</v>
      </c>
      <c r="E2" s="8" t="n">
        <v>60</v>
      </c>
      <c r="F2" s="8" t="n">
        <v>60</v>
      </c>
      <c r="G2" s="9" t="n">
        <f aca="false">IF(COUNT(B2:F2)=0,"",AVERAGE(B2:F2))</f>
        <v>60</v>
      </c>
    </row>
    <row r="3" customFormat="false" ht="17.15" hidden="false" customHeight="false" outlineLevel="0" collapsed="false">
      <c r="A3" s="10" t="s">
        <v>18</v>
      </c>
      <c r="B3" s="8" t="n">
        <v>58</v>
      </c>
      <c r="C3" s="8" t="n">
        <v>49</v>
      </c>
      <c r="D3" s="8" t="n">
        <v>56</v>
      </c>
      <c r="E3" s="8" t="n">
        <v>52</v>
      </c>
      <c r="F3" s="8" t="n">
        <v>55</v>
      </c>
      <c r="G3" s="9" t="n">
        <f aca="false">IF(COUNT(B3:F3)=0,"",AVERAGE(B3:F3))</f>
        <v>54</v>
      </c>
      <c r="H3" s="8" t="n">
        <v>10</v>
      </c>
    </row>
    <row r="4" customFormat="false" ht="17.15" hidden="false" customHeight="false" outlineLevel="0" collapsed="false">
      <c r="A4" s="10" t="s">
        <v>19</v>
      </c>
      <c r="B4" s="8" t="n">
        <v>59</v>
      </c>
      <c r="C4" s="8" t="n">
        <v>52</v>
      </c>
      <c r="D4" s="8" t="n">
        <v>56</v>
      </c>
      <c r="E4" s="8" t="n">
        <v>54</v>
      </c>
      <c r="F4" s="8" t="n">
        <v>55</v>
      </c>
      <c r="G4" s="9" t="n">
        <f aca="false">IF(COUNT(B4:F4)=0,"",AVERAGE(B4:F4))</f>
        <v>55.2</v>
      </c>
      <c r="H4" s="8" t="n">
        <v>12</v>
      </c>
    </row>
    <row r="5" customFormat="false" ht="17.15" hidden="false" customHeight="false" outlineLevel="0" collapsed="false">
      <c r="A5" s="10" t="s">
        <v>20</v>
      </c>
      <c r="B5" s="8"/>
      <c r="C5" s="8"/>
      <c r="D5" s="8"/>
      <c r="E5" s="8"/>
      <c r="F5" s="8"/>
      <c r="G5" s="9" t="str">
        <f aca="false">IF(COUNT(B5:F5)=0,"",AVERAGE(B5:F5))</f>
        <v/>
      </c>
      <c r="H5" s="8"/>
    </row>
    <row r="6" customFormat="false" ht="17.15" hidden="false" customHeight="false" outlineLevel="0" collapsed="false">
      <c r="A6" s="10" t="s">
        <v>21</v>
      </c>
      <c r="B6" s="8"/>
      <c r="C6" s="8"/>
      <c r="D6" s="8"/>
      <c r="E6" s="8"/>
      <c r="F6" s="8"/>
      <c r="G6" s="9" t="str">
        <f aca="false">IF(COUNT(B6:F6)=0,"",AVERAGE(B6:F6))</f>
        <v/>
      </c>
      <c r="H6" s="8"/>
    </row>
    <row r="7" customFormat="false" ht="17.15" hidden="false" customHeight="false" outlineLevel="0" collapsed="false">
      <c r="A7" s="10" t="s">
        <v>22</v>
      </c>
      <c r="B7" s="8"/>
      <c r="C7" s="8"/>
      <c r="D7" s="8"/>
      <c r="E7" s="8"/>
      <c r="F7" s="8"/>
      <c r="G7" s="9" t="str">
        <f aca="false">IF(COUNT(B7:F7)=0,"",AVERAGE(B7:F7))</f>
        <v/>
      </c>
      <c r="H7" s="8"/>
    </row>
    <row r="9" customFormat="false" ht="17.15" hidden="false" customHeight="false" outlineLevel="0" collapsed="false">
      <c r="A9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17.35" hidden="false" customHeight="false" outlineLevel="0" collapsed="false">
      <c r="A1" s="1" t="s">
        <v>24</v>
      </c>
    </row>
    <row r="3" customFormat="false" ht="17.15" hidden="false" customHeight="false" outlineLevel="0" collapsed="false">
      <c r="A3" s="6" t="s">
        <v>25</v>
      </c>
      <c r="B3" s="6" t="s">
        <v>26</v>
      </c>
      <c r="C3" s="6" t="s">
        <v>17</v>
      </c>
      <c r="D3" s="6" t="s">
        <v>27</v>
      </c>
      <c r="E3" s="6" t="s">
        <v>28</v>
      </c>
    </row>
    <row r="4" customFormat="false" ht="15" hidden="false" customHeight="false" outlineLevel="0" collapsed="false">
      <c r="A4" s="11" t="s">
        <v>10</v>
      </c>
      <c r="B4" s="12" t="n">
        <f aca="false">IFERROR(LOOKUP(2,1/(模試の記録!B3:B7&lt;&gt;""),模試の記録!B3:B7),"")</f>
        <v>59</v>
      </c>
      <c r="C4" s="12" t="n">
        <f aca="false">模試の記録!B2</f>
        <v>60</v>
      </c>
      <c r="D4" s="13" t="n">
        <f aca="false">IFERROR(B4-C4,"")</f>
        <v>-1</v>
      </c>
      <c r="E4" s="14" t="str">
        <f aca="false">IFERROR(IF(D4&lt;=-8,"最優先",IF(D4&lt;0,"強化","維持")),"")</f>
        <v>強化</v>
      </c>
    </row>
    <row r="5" customFormat="false" ht="15" hidden="false" customHeight="false" outlineLevel="0" collapsed="false">
      <c r="A5" s="11" t="s">
        <v>11</v>
      </c>
      <c r="B5" s="12" t="n">
        <f aca="false">IFERROR(LOOKUP(2,1/(模試の記録!C3:C7&lt;&gt;""),模試の記録!C3:C7),"")</f>
        <v>52</v>
      </c>
      <c r="C5" s="12" t="n">
        <f aca="false">模試の記録!C2</f>
        <v>60</v>
      </c>
      <c r="D5" s="13" t="n">
        <f aca="false">IFERROR(B5-C5,"")</f>
        <v>-8</v>
      </c>
      <c r="E5" s="14" t="str">
        <f aca="false">IFERROR(IF(D5&lt;=-8,"最優先",IF(D5&lt;0,"強化","維持")),"")</f>
        <v>最優先</v>
      </c>
    </row>
    <row r="6" customFormat="false" ht="15" hidden="false" customHeight="false" outlineLevel="0" collapsed="false">
      <c r="A6" s="11" t="s">
        <v>12</v>
      </c>
      <c r="B6" s="12" t="n">
        <f aca="false">IFERROR(LOOKUP(2,1/(模試の記録!D3:D7&lt;&gt;""),模試の記録!D3:D7),"")</f>
        <v>56</v>
      </c>
      <c r="C6" s="12" t="n">
        <f aca="false">模試の記録!D2</f>
        <v>60</v>
      </c>
      <c r="D6" s="13" t="n">
        <f aca="false">IFERROR(B6-C6,"")</f>
        <v>-4</v>
      </c>
      <c r="E6" s="14" t="str">
        <f aca="false">IFERROR(IF(D6&lt;=-8,"最優先",IF(D6&lt;0,"強化","維持")),"")</f>
        <v>強化</v>
      </c>
    </row>
    <row r="7" customFormat="false" ht="15" hidden="false" customHeight="false" outlineLevel="0" collapsed="false">
      <c r="A7" s="11" t="s">
        <v>13</v>
      </c>
      <c r="B7" s="12" t="n">
        <f aca="false">IFERROR(LOOKUP(2,1/(模試の記録!E3:E7&lt;&gt;""),模試の記録!E3:E7),"")</f>
        <v>54</v>
      </c>
      <c r="C7" s="12" t="n">
        <f aca="false">模試の記録!E2</f>
        <v>60</v>
      </c>
      <c r="D7" s="13" t="n">
        <f aca="false">IFERROR(B7-C7,"")</f>
        <v>-6</v>
      </c>
      <c r="E7" s="14" t="str">
        <f aca="false">IFERROR(IF(D7&lt;=-8,"最優先",IF(D7&lt;0,"強化","維持")),"")</f>
        <v>強化</v>
      </c>
    </row>
    <row r="8" customFormat="false" ht="15" hidden="false" customHeight="false" outlineLevel="0" collapsed="false">
      <c r="A8" s="11" t="s">
        <v>14</v>
      </c>
      <c r="B8" s="12" t="n">
        <f aca="false">IFERROR(LOOKUP(2,1/(模試の記録!F3:F7&lt;&gt;""),模試の記録!F3:F7),"")</f>
        <v>55</v>
      </c>
      <c r="C8" s="12" t="n">
        <f aca="false">模試の記録!F2</f>
        <v>60</v>
      </c>
      <c r="D8" s="13" t="n">
        <f aca="false">IFERROR(B8-C8,"")</f>
        <v>-5</v>
      </c>
      <c r="E8" s="14" t="str">
        <f aca="false">IFERROR(IF(D8&lt;=-8,"最優先",IF(D8&lt;0,"強化","維持")),"")</f>
        <v>強化</v>
      </c>
    </row>
    <row r="10" customFormat="false" ht="17.15" hidden="false" customHeight="false" outlineLevel="0" collapsed="false">
      <c r="A10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2026-10-30T02:58:02Z</dcterms:created>
  <dc:creator>openpyxl</dc:creator>
  <dc:description/>
  <dc:language>en-US</dc:language>
  <cp:lastModifiedBy/>
  <dcterms:modified xsi:type="dcterms:W3CDTF">2026-10-30T11:58:07Z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